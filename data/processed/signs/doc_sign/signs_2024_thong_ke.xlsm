
<file path=[Content_Types].xml><?xml version="1.0" encoding="utf-8"?>
<Types xmlns="http://schemas.openxmlformats.org/package/2006/content-types"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01_Tong_quan" sheetId="1" r:id="rId4"/>
    <sheet state="visible" name="02_Theo_7_nhom" sheetId="2" r:id="rId5"/>
    <sheet state="visible" name="03_Tim_anh_con_thieu" sheetId="3" r:id="rId6"/>
    <sheet state="visible" name="04_Kho_anh_361" sheetId="4" r:id="rId7"/>
    <sheet state="visible" name="05_Nguon_va_quy_tac" sheetId="5" r:id="rId8"/>
    <sheet state="visible" name="06_QC2024_Phan_loai_anh" sheetId="6" r:id="rId9"/>
  </sheets>
  <definedNames/>
  <calcPr/>
  <extLst>
    <ext uri="GoogleSheetsCustomDataVersion2">
      <go:sheetsCustomData xmlns:go="http://customooxmlschemas.google.com/" r:id="rId10" roundtripDataChecksum="wckxTVOn8JsaJPgixjP1SxeVNLvxOmbtu+Bnyh4YCsI="/>
    </ext>
  </extLst>
</workbook>
</file>

<file path=xl/sharedStrings.xml><?xml version="1.0" encoding="utf-8"?>
<sst xmlns="http://schemas.openxmlformats.org/spreadsheetml/2006/main" count="7585" uniqueCount="3353">
  <si>
    <t>QCVN 41:2024 | TỔNG QUAN CẬP NHẬT SAU HIỆU CHỈNH MÃ</t>
  </si>
  <si>
    <t>CHỈ TIÊU</t>
  </si>
  <si>
    <t>SỐ LƯỢNG</t>
  </si>
  <si>
    <t>GHI CHÚ / PHƯƠNG PHÁP</t>
  </si>
  <si>
    <t>Tổng mã QC2024</t>
  </si>
  <si>
    <t>Nguồn: QC2024(2).json đã đối chiếu ZIP + thông tin người dùng ngày 18/10/2026.</t>
  </si>
  <si>
    <t>Mã mẹ có SVG riêng</t>
  </si>
  <si>
    <t>Có SVG cùng mã cha (I.408, I.448, P.107, P.108).</t>
  </si>
  <si>
    <t>Mã mẹ không cần SVG riêng</t>
  </si>
  <si>
    <t>Mã nhóm không có tệp SVG riêng; không tính là thiếu hình.</t>
  </si>
  <si>
    <t>Mã con / biến thể</t>
  </si>
  <si>
    <t>R.413i–p được hợp nhất thành R.412i–p, loại mã nhóm R.413.</t>
  </si>
  <si>
    <t>Mã độc lập</t>
  </si>
  <si>
    <t>I.427a/b, I.434a/b, S.505a/b/c không có mã mẹ.</t>
  </si>
  <si>
    <t>QC2024 có hình SVG</t>
  </si>
  <si>
    <t>386 hình tồn tại trong ZIP; SHA-256 khớp sheet 06.</t>
  </si>
  <si>
    <t>QC2024 còn thiếu SVG</t>
  </si>
  <si>
    <t>Danh sách thiếu = 0 sau khi chuẩn hóa mã R.413/R.412.</t>
  </si>
  <si>
    <t>QC2024 không cần SVG riêng</t>
  </si>
  <si>
    <t>Không thể suy ra nội dung SVG đã được xác minh theo quy chuẩn gốc.</t>
  </si>
  <si>
    <t>Tổng mã QC2019</t>
  </si>
  <si>
    <t>QC2019: bỏ 9 alias R.413 và nhóm nhân tạo S.505 (441 → 431).</t>
  </si>
  <si>
    <t>Tổng mã file gộp</t>
  </si>
  <si>
    <t>Tổng 883 mã phân biệt theo phiên bản; xem file signs_app_da_hieu_chinh.json.</t>
  </si>
  <si>
    <t>Tổng SVG trong ZIP</t>
  </si>
  <si>
    <t>Các sheet 02–05, 08 đã đồng bộ với 452 mã QC2024 mới nhất.</t>
  </si>
  <si>
    <t>nhom</t>
  </si>
  <si>
    <t>folder</t>
  </si>
  <si>
    <t>tong_record</t>
  </si>
  <si>
    <t>image_true</t>
  </si>
  <si>
    <t>image_false</t>
  </si>
  <si>
    <t>image_null</t>
  </si>
  <si>
    <t>file_have</t>
  </si>
  <si>
    <t>file_missing</t>
  </si>
  <si>
    <t>file_not_required</t>
  </si>
  <si>
    <t>file_needs_review</t>
  </si>
  <si>
    <t>so_svg_trong_zip</t>
  </si>
  <si>
    <t>Biển báo cấm</t>
  </si>
  <si>
    <t>01_bien_cam</t>
  </si>
  <si>
    <t>Biển báo nguy hiểm và cảnh báo</t>
  </si>
  <si>
    <t>02_bien_nguy_hiem</t>
  </si>
  <si>
    <t>Biển hiệu lệnh</t>
  </si>
  <si>
    <t>03_bien_hieu_lenh</t>
  </si>
  <si>
    <t>Biển chỉ dẫn</t>
  </si>
  <si>
    <t>04_bien_chi_dan</t>
  </si>
  <si>
    <t>Biển phụ</t>
  </si>
  <si>
    <t>05_bien_phu</t>
  </si>
  <si>
    <t>Biển hết cấm</t>
  </si>
  <si>
    <t>06_bien_het_cam</t>
  </si>
  <si>
    <t>Biển chỉ dẫn trên đường cao tốc</t>
  </si>
  <si>
    <t>07_bien_cao_toc</t>
  </si>
  <si>
    <t>STT</t>
  </si>
  <si>
    <t>ma_bien</t>
  </si>
  <si>
    <t>ma_bien_json_qc2024</t>
  </si>
  <si>
    <t>ten</t>
  </si>
  <si>
    <t>parent_code</t>
  </si>
  <si>
    <t>record_type</t>
  </si>
  <si>
    <t>image_required</t>
  </si>
  <si>
    <t>file_status</t>
  </si>
  <si>
    <t>candidate_alias</t>
  </si>
  <si>
    <t>source_candidate</t>
  </si>
  <si>
    <t>source_match_type</t>
  </si>
  <si>
    <t>source_note</t>
  </si>
  <si>
    <t>download_status</t>
  </si>
  <si>
    <t>source_to_find</t>
  </si>
  <si>
    <t>note</t>
  </si>
  <si>
    <t>0</t>
  </si>
  <si>
    <t>Không còn mã thiếu SVG</t>
  </si>
  <si>
    <t>Dữ liệu cập nhật 18/10/2026</t>
  </si>
  <si>
    <t>386 mã yêu cầu SVG đã khớp tên tệp trong ZIP và xác nhận SHA-256. Danh sách liên quan ở sheet 08.</t>
  </si>
  <si>
    <t>No.</t>
  </si>
  <si>
    <t>category</t>
  </si>
  <si>
    <t>sign_code</t>
  </si>
  <si>
    <t>name</t>
  </si>
  <si>
    <t>grouped_zip_path</t>
  </si>
  <si>
    <t>source</t>
  </si>
  <si>
    <t>sha256</t>
  </si>
  <si>
    <t>dHash64</t>
  </si>
  <si>
    <t>wikimedia_search</t>
  </si>
  <si>
    <t>P.101</t>
  </si>
  <si>
    <t>Đường cấm</t>
  </si>
  <si>
    <t>01_bien_cam/P.101.svg</t>
  </si>
  <si>
    <t>https://commons.wikimedia.org/wiki/File:Vietnam_road_sign_P101.svg</t>
  </si>
  <si>
    <t>dfb24ed9dacb2e7c48a6e380d628b9a532a0f366a0da474b509cbf6305677da7</t>
  </si>
  <si>
    <t>0f7161c0c061710f</t>
  </si>
  <si>
    <t>https://commons.wikimedia.org/w/index.php?search=Vietnam%20road%20sign%20P101&amp;title=Special:MediaSearch&amp;type=image</t>
  </si>
  <si>
    <t>P.102</t>
  </si>
  <si>
    <t>Cấm đi ngược chiều</t>
  </si>
  <si>
    <t>01_bien_cam/P.102.svg</t>
  </si>
  <si>
    <t>https://commons.wikimedia.org/wiki/File:Vietnam_road_sign_P102.svg</t>
  </si>
  <si>
    <t>a76ded992cab39c3faba99eeedb878387512ed2f8bb10eb016aa7e2625460ab9</t>
  </si>
  <si>
    <t>0f3341c0c041330f</t>
  </si>
  <si>
    <t>https://commons.wikimedia.org/w/index.php?search=Vietnam%20road%20sign%20P102&amp;title=Special:MediaSearch&amp;type=image</t>
  </si>
  <si>
    <t>P.103a</t>
  </si>
  <si>
    <t>P.103</t>
  </si>
  <si>
    <t>Cấm xe ô tô</t>
  </si>
  <si>
    <t>01_bien_cam/P.103a.svg</t>
  </si>
  <si>
    <t>https://commons.wikimedia.org/wiki/File:Vietnam_road_sign_P103a.svg</t>
  </si>
  <si>
    <t>1f0e75bfc0fc6963e9098be99ad6cabf0add8298bceb7bcdfb76bf96dd752528</t>
  </si>
  <si>
    <t>0f717596c455730f</t>
  </si>
  <si>
    <t>https://commons.wikimedia.org/w/index.php?search=Vietnam%20road%20sign%20P103a&amp;title=Special:MediaSearch&amp;type=image</t>
  </si>
  <si>
    <t>P.103b</t>
  </si>
  <si>
    <t>Cấm xe ô tô rẽ phải</t>
  </si>
  <si>
    <t>01_bien_cam/P.103b.svg</t>
  </si>
  <si>
    <t>https://commons.wikimedia.org/wiki/File:Vietnam_road_sign_P103b.svg</t>
  </si>
  <si>
    <t>8849ef2a84ba8480d386441851ff80776885261d4db50cf523bafcf702469ea8</t>
  </si>
  <si>
    <t>0f315ddac645730f</t>
  </si>
  <si>
    <t>https://commons.wikimedia.org/w/index.php?search=Vietnam%20road%20sign%20P103b&amp;title=Special:MediaSearch&amp;type=image</t>
  </si>
  <si>
    <t>P.103c</t>
  </si>
  <si>
    <t>Cấm xe ô tô rẽ trái</t>
  </si>
  <si>
    <t>01_bien_cam/P.103c.svg</t>
  </si>
  <si>
    <t>https://commons.wikimedia.org/wiki/File:Vietnam_road_sign_P103c.svg</t>
  </si>
  <si>
    <t>bc587a0a21f406a04eab36fc6b3a23c479256301ff376302c482928a6e9f8385</t>
  </si>
  <si>
    <t>0f215dd89455730f</t>
  </si>
  <si>
    <t>https://commons.wikimedia.org/w/index.php?search=Vietnam%20road%20sign%20P103c&amp;title=Special:MediaSearch&amp;type=image</t>
  </si>
  <si>
    <t>P.104</t>
  </si>
  <si>
    <t>Cấm xe máy</t>
  </si>
  <si>
    <t>01_bien_cam/P.104.svg</t>
  </si>
  <si>
    <t>https://commons.wikimedia.org/wiki/File:Vietnam_road_sign_P104.svg</t>
  </si>
  <si>
    <t>db18bf58bebbd0842886a8647f6595425c6431fea240feb2bcca5a9832ab3128</t>
  </si>
  <si>
    <t>0f31719ecc41730f</t>
  </si>
  <si>
    <t>https://commons.wikimedia.org/w/index.php?search=Vietnam%20road%20sign%20P104&amp;title=Special:MediaSearch&amp;type=image</t>
  </si>
  <si>
    <t>P.105</t>
  </si>
  <si>
    <t>Cấm xe ô tô và xe máy</t>
  </si>
  <si>
    <t>01_bien_cam/P.105.svg</t>
  </si>
  <si>
    <t>https://commons.wikimedia.org/wiki/File:Vietnam_road_sign_P105.svg</t>
  </si>
  <si>
    <t>809f052156c0202a629111525a96ff444f549a9b3c084dc5c0fcf238de7e6848</t>
  </si>
  <si>
    <t>0f236dccec51330f</t>
  </si>
  <si>
    <t>https://commons.wikimedia.org/w/index.php?search=Vietnam%20road%20sign%20P105&amp;title=Special:MediaSearch&amp;type=image</t>
  </si>
  <si>
    <t>P.106a</t>
  </si>
  <si>
    <t>P.106</t>
  </si>
  <si>
    <t>Cấm xe ô tô tải</t>
  </si>
  <si>
    <t>01_bien_cam/P.106a.svg</t>
  </si>
  <si>
    <t>https://commons.wikimedia.org/wiki/File:Vietnam_road_sign_P106a.svg</t>
  </si>
  <si>
    <t>9f4fbc18088ba205b2067ac88227f5abd398991919980348bc2cc1505216e202</t>
  </si>
  <si>
    <t>0f3171928661730f</t>
  </si>
  <si>
    <t>https://commons.wikimedia.org/w/index.php?search=Vietnam%20road%20sign%20P106a&amp;title=Special:MediaSearch&amp;type=image</t>
  </si>
  <si>
    <t>P.106b</t>
  </si>
  <si>
    <t>01_bien_cam/P.106b.svg</t>
  </si>
  <si>
    <t>https://commons.wikimedia.org/wiki/File:Vietnam_road_sign_P106b.svg</t>
  </si>
  <si>
    <t>48e5871c01b63f0c3749f06fd6c42efbc1f37ccd0149549a464227820cf7b1fe</t>
  </si>
  <si>
    <t>0f317192a661730f</t>
  </si>
  <si>
    <t>https://commons.wikimedia.org/w/index.php?search=Vietnam%20road%20sign%20P106b&amp;title=Special:MediaSearch&amp;type=image</t>
  </si>
  <si>
    <t>P.106c</t>
  </si>
  <si>
    <t>Cấm các xe chở hàng nguy hiểm</t>
  </si>
  <si>
    <t>01_bien_cam/P.106c.svg</t>
  </si>
  <si>
    <t>https://commons.wikimedia.org/wiki/File:Vietnam_road_sign_P106c.svg</t>
  </si>
  <si>
    <t>71541d7747fe6ced4876ca780800597d117cd777c8510c6539ea3004dde6b631</t>
  </si>
  <si>
    <t>0f317ddccc41730f</t>
  </si>
  <si>
    <t>https://commons.wikimedia.org/w/index.php?search=Vietnam%20road%20sign%20P106c&amp;title=Special:MediaSearch&amp;type=image</t>
  </si>
  <si>
    <t>P.107</t>
  </si>
  <si>
    <t>Cấm xe ô tô khách và xe ô tô tải</t>
  </si>
  <si>
    <t>01_bien_cam/P.107.svg</t>
  </si>
  <si>
    <t>https://commons.wikimedia.org/wiki/File:Vietnam_road_sign_P107.svg</t>
  </si>
  <si>
    <t>d6632d5257899094f88869c01bd621a36e34bbfa2b3ca5809f5f9bd2b86e4013</t>
  </si>
  <si>
    <t>0f3171c6cc59730f</t>
  </si>
  <si>
    <t>Đây là mã họ nhóm (mã mẹ), có hình riêng</t>
  </si>
  <si>
    <t>https://commons.wikimedia.org/w/index.php?search=Vietnam%20road%20sign%20P107&amp;title=Special:MediaSearch&amp;type=image</t>
  </si>
  <si>
    <t>P.107a</t>
  </si>
  <si>
    <t>Cấm xe ô tô khách</t>
  </si>
  <si>
    <t>01_bien_cam/P.107a.svg</t>
  </si>
  <si>
    <t>https://commons.wikimedia.org/wiki/File:Vietnam_road_sign_P107a.svg</t>
  </si>
  <si>
    <t>fa4a53d2732d031e25497627a0b34251b344ba609d6ca2532c53adb4e2aae1d4</t>
  </si>
  <si>
    <t>0f31719ee661730f</t>
  </si>
  <si>
    <t>https://commons.wikimedia.org/w/index.php?search=Vietnam%20road%20sign%20P107a&amp;title=Special:MediaSearch&amp;type=image</t>
  </si>
  <si>
    <t>P.107b</t>
  </si>
  <si>
    <t>Cấm xe ô tô taxi</t>
  </si>
  <si>
    <t>01_bien_cam/P.107b.svg</t>
  </si>
  <si>
    <t>https://commons.wikimedia.org/wiki/File:Vietnam_road_sign_P107b.svg</t>
  </si>
  <si>
    <t>a680abb81d2822486701581d0dd4af33dd1749752f5117063150ecad585f0028</t>
  </si>
  <si>
    <t>0f317596c44d730f</t>
  </si>
  <si>
    <t>https://commons.wikimedia.org/w/index.php?search=Vietnam%20road%20sign%20P107b&amp;title=Special:MediaSearch&amp;type=image</t>
  </si>
  <si>
    <t>P.108</t>
  </si>
  <si>
    <t>Cấm xe kéo rơ-moóc</t>
  </si>
  <si>
    <t>01_bien_cam/P.108.svg</t>
  </si>
  <si>
    <t>https://commons.wikimedia.org/wiki/File:Vietnam_road_sign_P108.svg</t>
  </si>
  <si>
    <t>11ead3db49c4b7faf50a73f5ba00381e3dd8e9d931467c4b5af8397634d1ce68</t>
  </si>
  <si>
    <t>0f317133e741730f</t>
  </si>
  <si>
    <t>https://commons.wikimedia.org/w/index.php?search=Vietnam%20road%20sign%20P108&amp;title=Special:MediaSearch&amp;type=image</t>
  </si>
  <si>
    <t>P.108a</t>
  </si>
  <si>
    <t>Cấm xe sơ-mi rơ-moóc</t>
  </si>
  <si>
    <t>01_bien_cam/P.108a.svg</t>
  </si>
  <si>
    <t>https://commons.wikimedia.org/wiki/File:Vietnam_road_sign_P108a.svg</t>
  </si>
  <si>
    <t>308ade089b2181c6225d7447879aefe36e1235a3f83d609e6154d7a3f7cc1f4b</t>
  </si>
  <si>
    <t>0f31719a8e61730f</t>
  </si>
  <si>
    <t>https://commons.wikimedia.org/w/index.php?search=Vietnam%20road%20sign%20P108a&amp;title=Special:MediaSearch&amp;type=image</t>
  </si>
  <si>
    <t>P.109</t>
  </si>
  <si>
    <t>Cấm máy kéo</t>
  </si>
  <si>
    <t>01_bien_cam/P.109.svg</t>
  </si>
  <si>
    <t>https://commons.wikimedia.org/wiki/File:Vietnam_road_sign_P109.svg</t>
  </si>
  <si>
    <t>e2c35bc44589cf37ec345d611ee6f75559cbddf32f8932cec00260e911fc0e12</t>
  </si>
  <si>
    <t>0f3171868651730f</t>
  </si>
  <si>
    <t>https://commons.wikimedia.org/w/index.php?search=Vietnam%20road%20sign%20P109&amp;title=Special:MediaSearch&amp;type=image</t>
  </si>
  <si>
    <t>P.110a</t>
  </si>
  <si>
    <t>P.110</t>
  </si>
  <si>
    <t>Cấm xe đạp</t>
  </si>
  <si>
    <t>01_bien_cam/P.110a.svg</t>
  </si>
  <si>
    <t>https://commons.wikimedia.org/wiki/File:Vietnam_road_sign_P110a.svg</t>
  </si>
  <si>
    <t>921c5579a743d4e0d9e033b909f576f385063a8ccbcba6bed4850e800d8f5ede</t>
  </si>
  <si>
    <t>0f3171dcc451730f</t>
  </si>
  <si>
    <t>https://commons.wikimedia.org/w/index.php?search=Vietnam%20road%20sign%20P110a&amp;title=Special:MediaSearch&amp;type=image</t>
  </si>
  <si>
    <t>P.110b</t>
  </si>
  <si>
    <t>Cấm xe đạp thồ</t>
  </si>
  <si>
    <t>01_bien_cam/P.110b.svg</t>
  </si>
  <si>
    <t>https://commons.wikimedia.org/wiki/File:Vietnam_road_sign_P110b.svg</t>
  </si>
  <si>
    <t>ecf9c8ad9bcea4ab4ecc70af9a2e4641a8f78eb759b9337e8dfd3f4a324ac64f</t>
  </si>
  <si>
    <t>0f31719cb451730f</t>
  </si>
  <si>
    <t>https://commons.wikimedia.org/w/index.php?search=Vietnam%20road%20sign%20P110b&amp;title=Special:MediaSearch&amp;type=image</t>
  </si>
  <si>
    <t>P.111a</t>
  </si>
  <si>
    <t>P.111</t>
  </si>
  <si>
    <t>Cấm xe gắn máy</t>
  </si>
  <si>
    <t>01_bien_cam/P.111a.svg</t>
  </si>
  <si>
    <t>https://commons.wikimedia.org/wiki/File:Vietnam_road_sign_P111a.svg</t>
  </si>
  <si>
    <t>fa7ffc61411e14e1a90c6be7df9ba3405be029aed24995d425a399536f92f620</t>
  </si>
  <si>
    <t>0f31719ed461730f</t>
  </si>
  <si>
    <t>https://commons.wikimedia.org/w/index.php?search=Vietnam%20road%20sign%20P111a&amp;title=Special:MediaSearch&amp;type=image</t>
  </si>
  <si>
    <t>P.111b</t>
  </si>
  <si>
    <t>Cấm xe ba bánh loại có động cơ</t>
  </si>
  <si>
    <t>01_bien_cam/P.111b.svg</t>
  </si>
  <si>
    <t>https://commons.wikimedia.org/wiki/File:Vietnam_road_sign_P111b.svg</t>
  </si>
  <si>
    <t>74af0592df6668277321f8fc6151f3e66210cb845c2aeea93ac811dcf8c51e53</t>
  </si>
  <si>
    <t>0f3171cec461730f</t>
  </si>
  <si>
    <t>Giữ tên trích xuất cũ vì chưa tìm thấy tiêu đề định nghĩa trực tiếp đáng tin cậy. | Bản ghi JSON gốc được đánh dấu review_required.</t>
  </si>
  <si>
    <t>https://commons.wikimedia.org/w/index.php?search=Vietnam%20road%20sign%20P111b&amp;title=Special:MediaSearch&amp;type=image</t>
  </si>
  <si>
    <t>P.111c</t>
  </si>
  <si>
    <t>01_bien_cam/P.111c.svg</t>
  </si>
  <si>
    <t>https://commons.wikimedia.org/wiki/File:Vietnam_road_sign_P111c.svg</t>
  </si>
  <si>
    <t>3d7d3afac357ba5c085eaeaf05d5f336bd4f1faae45d2d94e01da984fffadb6e</t>
  </si>
  <si>
    <t>0f3171dee461730f</t>
  </si>
  <si>
    <t>https://commons.wikimedia.org/w/index.php?search=Vietnam%20road%20sign%20P111c&amp;title=Special:MediaSearch&amp;type=image</t>
  </si>
  <si>
    <t>P.111d</t>
  </si>
  <si>
    <t>Cấm xe ba bánh loại không có động cơ</t>
  </si>
  <si>
    <t>01_bien_cam/P.111d.svg</t>
  </si>
  <si>
    <t>https://commons.wikimedia.org/wiki/File:Vietnam_road_sign_P111d.svg</t>
  </si>
  <si>
    <t>5d509785d752cc06eb4462840768886fab85071a113b01270796b90768979f23</t>
  </si>
  <si>
    <t>0f3175d8cc41730f</t>
  </si>
  <si>
    <t>https://commons.wikimedia.org/w/index.php?search=Vietnam%20road%20sign%20P111d&amp;title=Special:MediaSearch&amp;type=image</t>
  </si>
  <si>
    <t>P.112</t>
  </si>
  <si>
    <t>Cấm người đi bộ</t>
  </si>
  <si>
    <t>01_bien_cam/P.112.svg</t>
  </si>
  <si>
    <t>https://commons.wikimedia.org/wiki/File:Vietnam_road_sign_P112.svg</t>
  </si>
  <si>
    <t>7c1ecef1150dfc50b7cd11d723a0934f5120674eea1299750806788856dfb393</t>
  </si>
  <si>
    <t>0f3155cccc49730f</t>
  </si>
  <si>
    <t>https://commons.wikimedia.org/w/index.php?search=Vietnam%20road%20sign%20P112&amp;title=Special:MediaSearch&amp;type=image</t>
  </si>
  <si>
    <t>P.113</t>
  </si>
  <si>
    <t>Cấm xe người kéo, đẩy</t>
  </si>
  <si>
    <t>01_bien_cam/P.113.svg</t>
  </si>
  <si>
    <t>https://commons.wikimedia.org/wiki/File:Vietnam_road_sign_P113.svg</t>
  </si>
  <si>
    <t>edda94e53bf2b0b989e151817854bff6c15624d34bf27203c696dbaf25d15ebe</t>
  </si>
  <si>
    <t>0f317594a461730f</t>
  </si>
  <si>
    <t>https://commons.wikimedia.org/w/index.php?search=Vietnam%20road%20sign%20P113&amp;title=Special:MediaSearch&amp;type=image</t>
  </si>
  <si>
    <t>P.114</t>
  </si>
  <si>
    <t>Cấm xe vật nuôi kéo</t>
  </si>
  <si>
    <t>01_bien_cam/P.114.svg</t>
  </si>
  <si>
    <t>https://commons.wikimedia.org/wiki/File:Vietnam_road_sign_P114.svg</t>
  </si>
  <si>
    <t>9b1f5a9fdda0943b9777a990cd2c91c2a1792c4909747f799af9b61bb976d6b5</t>
  </si>
  <si>
    <t>0f31799e9661730f</t>
  </si>
  <si>
    <t>https://commons.wikimedia.org/w/index.php?search=Vietnam%20road%20sign%20P114&amp;title=Special:MediaSearch&amp;type=image</t>
  </si>
  <si>
    <t>P.115</t>
  </si>
  <si>
    <t>Hạn chế trọng tải toàn bộ xe</t>
  </si>
  <si>
    <t>01_bien_cam/P.115.svg</t>
  </si>
  <si>
    <t>https://commons.wikimedia.org/wiki/File:Vietnam_road_sign_P115.svg</t>
  </si>
  <si>
    <t>e9e64873f2135fb07cf0d7a9187c286edfb45e6513d17d27cfeb310847a0deb5</t>
  </si>
  <si>
    <t>0f7149d6d649710f</t>
  </si>
  <si>
    <t>https://commons.wikimedia.org/w/index.php?search=Vietnam%20road%20sign%20P115&amp;title=Special:MediaSearch&amp;type=image</t>
  </si>
  <si>
    <t>P.116</t>
  </si>
  <si>
    <t>Hạn chế tải trọng trên trục xe</t>
  </si>
  <si>
    <t>01_bien_cam/P.116.svg</t>
  </si>
  <si>
    <t>https://commons.wikimedia.org/wiki/File:Vietnam_road_sign_P116.svg</t>
  </si>
  <si>
    <t>e7208a8d4a2744940bf54d1679dff10fcdf25f3f78af9687be5a34ad0fb56e23</t>
  </si>
  <si>
    <t>0f714de4cc4d710f</t>
  </si>
  <si>
    <t>https://commons.wikimedia.org/w/index.php?search=Vietnam%20road%20sign%20P116&amp;title=Special:MediaSearch&amp;type=image</t>
  </si>
  <si>
    <t>P.117</t>
  </si>
  <si>
    <t>Hạn chế chiều cao</t>
  </si>
  <si>
    <t>01_bien_cam/P.117.svg</t>
  </si>
  <si>
    <t>https://commons.wikimedia.org/wiki/File:Vietnam_road_sign_P117.svg</t>
  </si>
  <si>
    <t>7d52ab53cd1472f181fe430da14aff844c58ad08934eff494d59be759238c05a</t>
  </si>
  <si>
    <t>0f6969bac269690f</t>
  </si>
  <si>
    <t>https://commons.wikimedia.org/w/index.php?search=Vietnam%20road%20sign%20P117&amp;title=Special:MediaSearch&amp;type=image</t>
  </si>
  <si>
    <t>P.118</t>
  </si>
  <si>
    <t>Hạn chế chiều ngang xe</t>
  </si>
  <si>
    <t>01_bien_cam/P.118.svg</t>
  </si>
  <si>
    <t>https://commons.wikimedia.org/wiki/File:Vietnam_road_sign_P118.svg</t>
  </si>
  <si>
    <t>2dcb211bffff975a31a5be6fa0681f037d81f5719b244ffdb1116c50ef4c237d</t>
  </si>
  <si>
    <t>0f714d716161710f</t>
  </si>
  <si>
    <t>https://commons.wikimedia.org/w/index.php?search=Vietnam%20road%20sign%20P118&amp;title=Special:MediaSearch&amp;type=image</t>
  </si>
  <si>
    <t>P.119</t>
  </si>
  <si>
    <t>Hạn chế chiều dài xe</t>
  </si>
  <si>
    <t>01_bien_cam/P.119.svg</t>
  </si>
  <si>
    <t>https://commons.wikimedia.org/wiki/File:Vietnam_road_sign_P119.svg</t>
  </si>
  <si>
    <t>05c9714781ab92193fda8e93b357f789421ebb75b4836b865b2e114278211daa</t>
  </si>
  <si>
    <t>0f714996866d710f</t>
  </si>
  <si>
    <t>https://commons.wikimedia.org/w/index.php?search=Vietnam%20road%20sign%20P119&amp;title=Special:MediaSearch&amp;type=image</t>
  </si>
  <si>
    <t>P.120</t>
  </si>
  <si>
    <t>Hạn chế chiều dài xe cơ giới kéo theo rơ-moóc hoặc sơ-mi rơ-moóc</t>
  </si>
  <si>
    <t>01_bien_cam/P.120.svg</t>
  </si>
  <si>
    <t>https://commons.wikimedia.org/wiki/File:Vietnam_road_sign_P120.svg</t>
  </si>
  <si>
    <t>1dc5ab270b96911cf722ad2b9b57a4cc8a2c71f8ca03d52d0b11d9df869bb626</t>
  </si>
  <si>
    <t>0f715dc4b265710f</t>
  </si>
  <si>
    <t>https://commons.wikimedia.org/w/index.php?search=Vietnam%20road%20sign%20P120&amp;title=Special:MediaSearch&amp;type=image</t>
  </si>
  <si>
    <t>P.121</t>
  </si>
  <si>
    <t>Cự ly tối thiểu giữa hai xe</t>
  </si>
  <si>
    <t>01_bien_cam/P.121.svg</t>
  </si>
  <si>
    <t>https://commons.wikimedia.org/wiki/File:Vietnam_road_sign_P121.svg</t>
  </si>
  <si>
    <t>cefccd71e5e868117fda9b2628eef107578ada16a5516be5599dea999f0b36ef</t>
  </si>
  <si>
    <t>0f7141f1f045710f</t>
  </si>
  <si>
    <t>https://commons.wikimedia.org/w/index.php?search=Vietnam%20road%20sign%20P121&amp;title=Special:MediaSearch&amp;type=image</t>
  </si>
  <si>
    <t>P.123a</t>
  </si>
  <si>
    <t>P.123</t>
  </si>
  <si>
    <t>Cấm rẽ trái</t>
  </si>
  <si>
    <t>01_bien_cam/P.123a.svg</t>
  </si>
  <si>
    <t>https://commons.wikimedia.org/wiki/File:Vietnam_road_sign_P123a.svg</t>
  </si>
  <si>
    <t>77921f137059c7edac81f18ca4dd154338746704a5b32a959db145d1d962e9e9</t>
  </si>
  <si>
    <t>0f3151989c4b730f</t>
  </si>
  <si>
    <t>https://commons.wikimedia.org/w/index.php?search=Vietnam%20road%20sign%20P123a&amp;title=Special:MediaSearch&amp;type=image</t>
  </si>
  <si>
    <t>P.123b</t>
  </si>
  <si>
    <t>Cấm rẽ phải</t>
  </si>
  <si>
    <t>01_bien_cam/P.123b.svg</t>
  </si>
  <si>
    <t>https://commons.wikimedia.org/wiki/File:Vietnam_road_sign_P123b.svg</t>
  </si>
  <si>
    <t>970e5bbd0e206231aa59478b3c5dafe35eab637c31fc102e93b5278e7e6d3b62</t>
  </si>
  <si>
    <t>0f3375d6861d730f</t>
  </si>
  <si>
    <t>https://commons.wikimedia.org/w/index.php?search=Vietnam%20road%20sign%20P123b&amp;title=Special:MediaSearch&amp;type=image</t>
  </si>
  <si>
    <t>P.124a</t>
  </si>
  <si>
    <t>P.124</t>
  </si>
  <si>
    <t>Cấm quay đầu xe</t>
  </si>
  <si>
    <t>01_bien_cam/P.124a.svg</t>
  </si>
  <si>
    <t>https://commons.wikimedia.org/wiki/File:Vietnam_road_sign_P124a1.svg</t>
  </si>
  <si>
    <t>c09dc5c38be36f64151f0f5b93e7d3d393b1d4c41faba9eccd70165da274c91d</t>
  </si>
  <si>
    <t>Đã kiểm tra và cập nhật đường dẫn/SHA-256 từ dataset_signs.zip.</t>
  </si>
  <si>
    <t>P.124b</t>
  </si>
  <si>
    <t>Cấm ô tô quay đầu xe</t>
  </si>
  <si>
    <t>01_bien_cam/P.124b.svg</t>
  </si>
  <si>
    <t>https://commons.wikimedia.org/wiki/File:Vietnam_road_sign_P124b1.svg</t>
  </si>
  <si>
    <t>9202bd30a3e4f6220432818e0eed73e5f35258439ec18f3b2e04a9cbd8ba9b5e</t>
  </si>
  <si>
    <t>P.124c</t>
  </si>
  <si>
    <t>Cấm rẽ trái và quay đầu xe</t>
  </si>
  <si>
    <t>01_bien_cam/P.124c.svg</t>
  </si>
  <si>
    <t>https://commons.wikimedia.org/wiki/File:Vietnam_road_sign_P124c.svg</t>
  </si>
  <si>
    <t>9c6df725c3510495525bb2de5343d7cf8190efff0ad72743f1623ce533b89d7c</t>
  </si>
  <si>
    <t>0f3175d4ce41730f</t>
  </si>
  <si>
    <t>https://commons.wikimedia.org/w/index.php?search=Vietnam%20road%20sign%20P124c&amp;title=Special:MediaSearch&amp;type=image</t>
  </si>
  <si>
    <t>P.124d</t>
  </si>
  <si>
    <t>Cấm rẽ phải và quay đầu xe</t>
  </si>
  <si>
    <t>01_bien_cam/P.124d.svg</t>
  </si>
  <si>
    <t>https://commons.wikimedia.org/wiki/File:Vietnam_road_sign_P124d.svg</t>
  </si>
  <si>
    <t>7d8d245d19bc79294dcad3fc5b1aadbba601fb4732d20c6c2a9c536bbbb51ab5</t>
  </si>
  <si>
    <t>0f3355d48c61730f</t>
  </si>
  <si>
    <t>https://commons.wikimedia.org/w/index.php?search=Vietnam%20road%20sign%20P124d&amp;title=Special:MediaSearch&amp;type=image</t>
  </si>
  <si>
    <t>P.124e</t>
  </si>
  <si>
    <t>Cấm ô tô rẽ trái và quay đầu xe</t>
  </si>
  <si>
    <t>01_bien_cam/P.124e.svg</t>
  </si>
  <si>
    <t>https://commons.wikimedia.org/wiki/File:Vietnam_road_sign_P124e.svg</t>
  </si>
  <si>
    <t>212c3dc94ba7e8eb3fb0d325ca3e3020e7b75dfb58a738feb5cce5ec069b1c7f</t>
  </si>
  <si>
    <t>0f3175d4ce496b0f</t>
  </si>
  <si>
    <t>https://commons.wikimedia.org/w/index.php?search=Vietnam%20road%20sign%20P124e&amp;title=Special:MediaSearch&amp;type=image</t>
  </si>
  <si>
    <t>P.124f</t>
  </si>
  <si>
    <t>Cấm ô tô rẽ phải và quay đầu xe</t>
  </si>
  <si>
    <t>01_bien_cam/P.124f.svg</t>
  </si>
  <si>
    <t>https://commons.wikimedia.org/wiki/File:Vietnam_road_sign_P124f.svg</t>
  </si>
  <si>
    <t>23983e9774b26a596350e47289afaf69b2d0cbd7ea91b6c7a210a4bec79784cd</t>
  </si>
  <si>
    <t>0f3355d48c4d6b0f</t>
  </si>
  <si>
    <t>https://commons.wikimedia.org/w/index.php?search=Vietnam%20road%20sign%20P124f&amp;title=Special:MediaSearch&amp;type=image</t>
  </si>
  <si>
    <t>P.125</t>
  </si>
  <si>
    <t>Cấm vượt</t>
  </si>
  <si>
    <t>01_bien_cam/P.125.svg</t>
  </si>
  <si>
    <t>https://commons.wikimedia.org/wiki/File:Vietnam_road_sign_P125_V2.svg</t>
  </si>
  <si>
    <t>e7adeb1543924eaff3da43b4f66cd527d561259fe4cd419e0b201ea51ab58be5</t>
  </si>
  <si>
    <t>0f7161969461710f</t>
  </si>
  <si>
    <t>https://commons.wikimedia.org/w/index.php?search=Vietnam%20road%20sign%20P125&amp;title=Special:MediaSearch&amp;type=image</t>
  </si>
  <si>
    <t>P.126</t>
  </si>
  <si>
    <t>Cấm xe ô tô tải vượt</t>
  </si>
  <si>
    <t>01_bien_cam/P.126.svg</t>
  </si>
  <si>
    <t>https://commons.wikimedia.org/wiki/File:Vietnam_road_sign_P126_V2.svg</t>
  </si>
  <si>
    <t>d6737f50dc1c02525f5577b6b6403436a548830ca435f237acdc6b119743781a</t>
  </si>
  <si>
    <t>0f7171b6e665710f</t>
  </si>
  <si>
    <t>File SVG trùng SHA-256 với mã: DP.127a. Không đồng nghĩa hai mã là cùng biển.</t>
  </si>
  <si>
    <t>https://commons.wikimedia.org/w/index.php?search=Vietnam%20road%20sign%20P126&amp;title=Special:MediaSearch&amp;type=image</t>
  </si>
  <si>
    <t>P.127-5</t>
  </si>
  <si>
    <t>P.127</t>
  </si>
  <si>
    <t>Tốc độ tối đa cho phép</t>
  </si>
  <si>
    <t>01_bien_cam/P.127-5.svg</t>
  </si>
  <si>
    <t>11007224a2eb7970a79d41d96a8316fd6d06f46c332d3be74dfc497e55642a2d</t>
  </si>
  <si>
    <t>P.127-20</t>
  </si>
  <si>
    <t>01_bien_cam/P.127-20.svg</t>
  </si>
  <si>
    <t>d4567ad24440999ef842d3fccc57fd3c5ce2d1a7f309bc1dfa433b010fbab7c3</t>
  </si>
  <si>
    <t>P.127-30</t>
  </si>
  <si>
    <t>01_bien_cam/P.127-30.svg</t>
  </si>
  <si>
    <t>2178e1a3007485ac6ef00307e2ca604d5490d63cf809b24280c36175e9026af0</t>
  </si>
  <si>
    <t>P.127-40</t>
  </si>
  <si>
    <t>01_bien_cam/P.127-40.svg</t>
  </si>
  <si>
    <t>093f3dc02e5a4efd165f902aa8844378a749ae563ece980f62cad15a22a4a5a5</t>
  </si>
  <si>
    <t>P.127-50</t>
  </si>
  <si>
    <t>01_bien_cam/P.127-50.svg</t>
  </si>
  <si>
    <t>1ea873313b5c88529e0f8525b48281a22ab86da5a913701bb481eed14d307ede</t>
  </si>
  <si>
    <t>P.127-60</t>
  </si>
  <si>
    <t>01_bien_cam/P.127-60.svg</t>
  </si>
  <si>
    <t>a29d5a59ca7fa7443302a41bc49674c117ae240bb96aca8edb718a6dfd8e7328</t>
  </si>
  <si>
    <t>P.127-70</t>
  </si>
  <si>
    <t>01_bien_cam/P.127-70.svg</t>
  </si>
  <si>
    <t>559c738139f137ed15a3aeb6affd337020ff12b35f93f249642351756dbc547d</t>
  </si>
  <si>
    <t>P.127-80</t>
  </si>
  <si>
    <t>01_bien_cam/P.127-80.svg</t>
  </si>
  <si>
    <t>2f64be92df69c8105e2f365175ab3865e52fb7b3de36acaf909be44b77d474d9</t>
  </si>
  <si>
    <t>P.127-90</t>
  </si>
  <si>
    <t>01_bien_cam/P.127-90.svg</t>
  </si>
  <si>
    <t>5083189de14f22fdc22289e731b3c96aaee9b51a6539b17eccf8a3e4e7bad5ff</t>
  </si>
  <si>
    <t>P.127-100</t>
  </si>
  <si>
    <t>01_bien_cam/P.127-100.svg</t>
  </si>
  <si>
    <t>4d74d49e2a7937da71e0b0c8f0b7ef0b7a0707890bb529752cdc71326694598e</t>
  </si>
  <si>
    <t>P.127-110</t>
  </si>
  <si>
    <t>01_bien_cam/P.127-110.svg</t>
  </si>
  <si>
    <t>dfa2290db3f5f001910151c37ed315ddacb2456f2b6f6c55706615649fb97847</t>
  </si>
  <si>
    <t>P.127-120</t>
  </si>
  <si>
    <t>01_bien_cam/P.127-120.svg</t>
  </si>
  <si>
    <t>22156d76ba9c7dbfaa3cf0f7dec6211ab5dba02b70f65372afc72bbb5376c76d</t>
  </si>
  <si>
    <t>P.127a</t>
  </si>
  <si>
    <t>Tốc độ tối đa cho phép về ban đêm</t>
  </si>
  <si>
    <t>01_bien_cam/P.127a.svg</t>
  </si>
  <si>
    <t>https://commons.wikimedia.org/wiki/File:Vietnam_road_sign_P127a.svg</t>
  </si>
  <si>
    <t>60715d93017c97809f39da54f908e5b8b901988999324425e0b57e9e804dd24b</t>
  </si>
  <si>
    <t>37354d0f3717174d</t>
  </si>
  <si>
    <t>File SVG trùng SHA-256 với mã: DP.127b. Không đồng nghĩa hai mã là cùng biển.</t>
  </si>
  <si>
    <t>https://commons.wikimedia.org/w/index.php?search=Vietnam%20road%20sign%20P127a&amp;title=Special:MediaSearch&amp;type=image</t>
  </si>
  <si>
    <t>P.127b</t>
  </si>
  <si>
    <t>Biển ghép tốc độ tối đa cho phép trên từng làn đường</t>
  </si>
  <si>
    <t>01_bien_cam/P.127b.svg</t>
  </si>
  <si>
    <t>https://commons.wikimedia.org/wiki/File:Vietnam_road_sign_P127b-2.svg</t>
  </si>
  <si>
    <t>f61d50bb375fdd105f4ff9ecdac592ce1215c80c8c36ba565a1ff6c16fe24c18</t>
  </si>
  <si>
    <t>1796969696969617</t>
  </si>
  <si>
    <t>File SVG trùng SHA-256 với mã: DP.127c. Không đồng nghĩa hai mã là cùng biển.</t>
  </si>
  <si>
    <t>https://commons.wikimedia.org/w/index.php?search=Vietnam%20road%20sign%20P127b&amp;title=Special:MediaSearch&amp;type=image</t>
  </si>
  <si>
    <t>P.127c</t>
  </si>
  <si>
    <t>Biển ghép tốc độ tối đa cho phép theo phương tiện, trên từng làn đường</t>
  </si>
  <si>
    <t>01_bien_cam/P.127c.svg</t>
  </si>
  <si>
    <t>https://commons.wikimedia.org/wiki/File:Vietnam_road_sign_P127c.svg</t>
  </si>
  <si>
    <t>520395fb3c4ba60c8461a0abb43d4a64bf33063deefa49e9895f6a831b40bce8</t>
  </si>
  <si>
    <t>b1b58eb2a192926d</t>
  </si>
  <si>
    <t>https://commons.wikimedia.org/w/index.php?search=Vietnam%20road%20sign%20P127c&amp;title=Special:MediaSearch&amp;type=image</t>
  </si>
  <si>
    <t>P.128</t>
  </si>
  <si>
    <t>Cấm sử dụng còi</t>
  </si>
  <si>
    <t>01_bien_cam/P.128.svg</t>
  </si>
  <si>
    <t>https://commons.wikimedia.org/wiki/File:Vietnam_road_sign_P128.svg</t>
  </si>
  <si>
    <t>1986f3c21d218870aee9341e18d6d96a67d4997bc8c4bc7a64fb577d39b69db3</t>
  </si>
  <si>
    <t>0f31799cc661730f</t>
  </si>
  <si>
    <t>https://commons.wikimedia.org/w/index.php?search=Vietnam%20road%20sign%20P128&amp;title=Special:MediaSearch&amp;type=image</t>
  </si>
  <si>
    <t>P.129</t>
  </si>
  <si>
    <t>Kiểm tra</t>
  </si>
  <si>
    <t>01_bien_cam/P.129.svg</t>
  </si>
  <si>
    <t>https://commons.wikimedia.org/wiki/File:Vietnam_road_sign_P129.svg</t>
  </si>
  <si>
    <t>6b79c0576e9cf37ac7c005a3036d00745488d8a91e187be81129826a80164939</t>
  </si>
  <si>
    <t>0f7175968e41710f</t>
  </si>
  <si>
    <t>https://commons.wikimedia.org/w/index.php?search=Vietnam%20road%20sign%20P129&amp;title=Special:MediaSearch&amp;type=image</t>
  </si>
  <si>
    <t>P.130</t>
  </si>
  <si>
    <t>Cấm dừng xe và đỗ xe</t>
  </si>
  <si>
    <t>01_bien_cam/P.130.svg</t>
  </si>
  <si>
    <t>https://commons.wikimedia.org/wiki/File:Vietnam_road_sign_P130.svg</t>
  </si>
  <si>
    <t>1983acb8359cf77d15241d850aca04fea1d5e894c5bc7a845284f1f9b87ffc39</t>
  </si>
  <si>
    <t>0f0f4d33334d070f</t>
  </si>
  <si>
    <t>https://commons.wikimedia.org/w/index.php?search=Vietnam%20road%20sign%20P130&amp;title=Special:MediaSearch&amp;type=image</t>
  </si>
  <si>
    <t>P.131a</t>
  </si>
  <si>
    <t>P.131</t>
  </si>
  <si>
    <t>Cấm đỗ xe</t>
  </si>
  <si>
    <t>01_bien_cam/P.131a.svg</t>
  </si>
  <si>
    <t>https://commons.wikimedia.org/wiki/File:Vietnam_road_sign_P131a.svg</t>
  </si>
  <si>
    <t>c2c550de0330db628b9cfa73d7d04f7586c338b5a722f8aaa44e885374d414b5</t>
  </si>
  <si>
    <t>0f0747233b0d070f</t>
  </si>
  <si>
    <t>https://commons.wikimedia.org/w/index.php?search=Vietnam%20road%20sign%20P131a&amp;title=Special:MediaSearch&amp;type=image</t>
  </si>
  <si>
    <t>P.131b</t>
  </si>
  <si>
    <t>01_bien_cam/P.131b.svg</t>
  </si>
  <si>
    <t>https://commons.wikimedia.org/wiki/File:Vietnam_road_sign_P131b.svg</t>
  </si>
  <si>
    <t>75eab341d324a8418c0860ddf23c1979475bc6e0caac1fd4c39c4d07ed8709c3</t>
  </si>
  <si>
    <t>0f1333333331330f</t>
  </si>
  <si>
    <t>https://commons.wikimedia.org/w/index.php?search=Vietnam%20road%20sign%20P131b&amp;title=Special:MediaSearch&amp;type=image</t>
  </si>
  <si>
    <t>P.131c</t>
  </si>
  <si>
    <t>01_bien_cam/P.131c.svg</t>
  </si>
  <si>
    <t>https://commons.wikimedia.org/wiki/File:Vietnam_road_sign_P131c.svg</t>
  </si>
  <si>
    <t>756eb1ad441cfc3c0fd7bcf87ec58ab7bf280a5d05f169c31e6aca51d7c823bd</t>
  </si>
  <si>
    <t>0f2b6b2b2b292b0f</t>
  </si>
  <si>
    <t>https://commons.wikimedia.org/w/index.php?search=Vietnam%20road%20sign%20P131c&amp;title=Special:MediaSearch&amp;type=image</t>
  </si>
  <si>
    <t>P.132</t>
  </si>
  <si>
    <t>Nhường đường cho xe cơ giới đi ngược chiều qua đường hẹp</t>
  </si>
  <si>
    <t>01_bien_cam/P.132.svg</t>
  </si>
  <si>
    <t>https://commons.wikimedia.org/wiki/File:Vietnam_road_sign_P132.svg</t>
  </si>
  <si>
    <t>622e31fc0654e7abd71de5f78ca7294fb69fe9de7c91d4868a32526391d248b6</t>
  </si>
  <si>
    <t>0f7155d4d455710f</t>
  </si>
  <si>
    <t>https://commons.wikimedia.org/w/index.php?search=Vietnam%20road%20sign%20P132&amp;title=Special:MediaSearch&amp;type=image</t>
  </si>
  <si>
    <t>DP.133</t>
  </si>
  <si>
    <t>Hết cấm vượt</t>
  </si>
  <si>
    <t>01_bien_cam/DP.133.svg</t>
  </si>
  <si>
    <t>https://commons.wikimedia.org/wiki/File:Vietnam_road_sign_P133_V2.svg</t>
  </si>
  <si>
    <t>https://commons.wikimedia.org/w/index.php?search=Vietnam%20road%20sign%20P133&amp;title=Special:MediaSearch&amp;type=image</t>
  </si>
  <si>
    <t>DP.134</t>
  </si>
  <si>
    <t>Hết tốc độ tối đa cho phép</t>
  </si>
  <si>
    <t>01_bien_cam/DP.134.svg</t>
  </si>
  <si>
    <t>https://commons.wikimedia.org/wiki/File:Vietnam_road_sign_P134_V2.svg</t>
  </si>
  <si>
    <t>https://commons.wikimedia.org/w/index.php?search=Vietnam%20road%20sign%20P134&amp;title=Special:MediaSearch&amp;type=image</t>
  </si>
  <si>
    <t>DP.135</t>
  </si>
  <si>
    <t>Hết tất cả các lệnh cấm</t>
  </si>
  <si>
    <t>01_bien_cam/DP.135.svg</t>
  </si>
  <si>
    <t>https://commons.wikimedia.org/wiki/File:Vietnam_road_sign_P135.svg</t>
  </si>
  <si>
    <t>https://commons.wikimedia.org/w/index.php?search=Vietnam%20road%20sign%20P135&amp;title=Special:MediaSearch&amp;type=image</t>
  </si>
  <si>
    <t>P.136</t>
  </si>
  <si>
    <t>Cấm đi thẳng</t>
  </si>
  <si>
    <t>01_bien_cam/P.136.svg</t>
  </si>
  <si>
    <t>https://commons.wikimedia.org/wiki/File:Vietnam_road_sign_P136.svg</t>
  </si>
  <si>
    <t>4bbdf9ffe12a60ddf74e8b82e1abb24de7e1e94e1a32c3b5b20cc7675bcdb2e8</t>
  </si>
  <si>
    <t>07296dcccc4d6b0f</t>
  </si>
  <si>
    <t>https://commons.wikimedia.org/w/index.php?search=Vietnam%20road%20sign%20P136&amp;title=Special:MediaSearch&amp;type=image</t>
  </si>
  <si>
    <t>P.137</t>
  </si>
  <si>
    <t>Cấm rẽ trái, rẽ phải</t>
  </si>
  <si>
    <t>01_bien_cam/P.137.svg</t>
  </si>
  <si>
    <t>https://commons.wikimedia.org/wiki/File:Vietnam_road_sign_P137.svg</t>
  </si>
  <si>
    <t>db87d999cbebff1b3f91427c25a996066ae880caf5c4bddc5979fb1975c63b32</t>
  </si>
  <si>
    <t>0f316dcccc13730f</t>
  </si>
  <si>
    <t>https://commons.wikimedia.org/w/index.php?search=Vietnam%20road%20sign%20P137&amp;title=Special:MediaSearch&amp;type=image</t>
  </si>
  <si>
    <t>P.138</t>
  </si>
  <si>
    <t>Cấm đi thẳng, rẽ trái</t>
  </si>
  <si>
    <t>01_bien_cam/P.138.svg</t>
  </si>
  <si>
    <t>https://commons.wikimedia.org/wiki/File:Vietnam_road_sign_P138.svg</t>
  </si>
  <si>
    <t>aab8a5aeb92e16b16108aa5665db6b1285303786fa0ef51a9bec90e9b85cb6b6</t>
  </si>
  <si>
    <t>0f3155de9451730f</t>
  </si>
  <si>
    <t>https://commons.wikimedia.org/w/index.php?search=Vietnam%20road%20sign%20P138&amp;title=Special:MediaSearch&amp;type=image</t>
  </si>
  <si>
    <t>P.139</t>
  </si>
  <si>
    <t>Cấm đi thẳng, rẽ phải</t>
  </si>
  <si>
    <t>01_bien_cam/P.139.svg</t>
  </si>
  <si>
    <t>https://commons.wikimedia.org/wiki/File:Vietnam_road_sign_P139.svg</t>
  </si>
  <si>
    <t>b4806b80109fb346284c6228136ca17fc5003266242baf735b8dbce3b0613cfc</t>
  </si>
  <si>
    <t>0f337584c665730f</t>
  </si>
  <si>
    <t>https://commons.wikimedia.org/w/index.php?search=Vietnam%20road%20sign%20P139&amp;title=Special:MediaSearch&amp;type=image</t>
  </si>
  <si>
    <t>P.140</t>
  </si>
  <si>
    <t>Cấm xe công nông và các loại xe tương tự</t>
  </si>
  <si>
    <t>01_bien_cam/P.140.svg</t>
  </si>
  <si>
    <t>https://commons.wikimedia.org/wiki/File:Vietnam_road_sign_P140.svg</t>
  </si>
  <si>
    <t>3b69c639b11a5b377e7aa7cea12a3a869ce4a369f44885fe35581b7f5163b21a</t>
  </si>
  <si>
    <t>0f31719e8671730f</t>
  </si>
  <si>
    <t>https://commons.wikimedia.org/w/index.php?search=Vietnam%20road%20sign%20P140&amp;title=Special:MediaSearch&amp;type=image</t>
  </si>
  <si>
    <t>W.201a</t>
  </si>
  <si>
    <t>W.201</t>
  </si>
  <si>
    <t>Chỗ ngoặt nguy hiểm</t>
  </si>
  <si>
    <t>02_bien_nguy_hiem/W.201a.svg</t>
  </si>
  <si>
    <t>https://commons.wikimedia.org/wiki/File:Vietnam_road_sign_W201a.svg</t>
  </si>
  <si>
    <t>49171e34fa74abc7fef5d3e1f43f87da8e717ce7286a3a5b29089d862bee08ba</t>
  </si>
  <si>
    <t>23dc590b23160c0c</t>
  </si>
  <si>
    <t>https://commons.wikimedia.org/w/index.php?search=Vietnam%20road%20sign%20W201a&amp;title=Special:MediaSearch&amp;type=image</t>
  </si>
  <si>
    <t>W.201b</t>
  </si>
  <si>
    <t>02_bien_nguy_hiem/W.201b.svg</t>
  </si>
  <si>
    <t>https://commons.wikimedia.org/wiki/File:Vietnam_road_sign_W201b.svg</t>
  </si>
  <si>
    <t>f551a07d61cf16dc1de3124c96fe359ef6cb07071742c879b6e266bcae0b6e5a</t>
  </si>
  <si>
    <t>0bc4652f3b160c0c</t>
  </si>
  <si>
    <t>https://commons.wikimedia.org/w/index.php?search=Vietnam%20road%20sign%20W201b&amp;title=Special:MediaSearch&amp;type=image</t>
  </si>
  <si>
    <t>W.201c</t>
  </si>
  <si>
    <t>02_bien_nguy_hiem/W.201c.svg</t>
  </si>
  <si>
    <t>https://commons.wikimedia.org/wiki/File:Vietnam_road_sign_W201c.svg</t>
  </si>
  <si>
    <t>5e19b5179227e906efe3cd18960f7b16057f5c2ba4bf7330d20f90a5b9591ca6</t>
  </si>
  <si>
    <t>33cc4d0b33160c0c</t>
  </si>
  <si>
    <t>https://commons.wikimedia.org/w/index.php?search=Vietnam%20road%20sign%20W201c&amp;title=Special:MediaSearch&amp;type=image</t>
  </si>
  <si>
    <t>W.201d</t>
  </si>
  <si>
    <t>02_bien_nguy_hiem/W.201d.svg</t>
  </si>
  <si>
    <t>https://commons.wikimedia.org/wiki/File:Vietnam_road_sign_W201d.svg</t>
  </si>
  <si>
    <t>fdb6422afc4fc62f8290bf7f9208f761c66e517f9fbb02121fc7c9a67b74bd5b</t>
  </si>
  <si>
    <t>33cc4d2f33160c0c</t>
  </si>
  <si>
    <t>https://commons.wikimedia.org/w/index.php?search=Vietnam%20road%20sign%20W201d&amp;title=Special:MediaSearch&amp;type=image</t>
  </si>
  <si>
    <t>W.202a</t>
  </si>
  <si>
    <t>W.202</t>
  </si>
  <si>
    <t>Nhiều chỗ ngoặt nguy hiểm liên tiếp</t>
  </si>
  <si>
    <t>02_bien_nguy_hiem/W.202a.svg</t>
  </si>
  <si>
    <t>https://commons.wikimedia.org/wiki/File:Vietnam_road_sign_W202a.svg</t>
  </si>
  <si>
    <t>55dec00d55b40e8f4b187c56be100009df679ae8c56817b37f5198cd53359aca</t>
  </si>
  <si>
    <t>4bb01d0f27160c0c</t>
  </si>
  <si>
    <t>https://commons.wikimedia.org/w/index.php?search=Vietnam%20road%20sign%20W202a&amp;title=Special:MediaSearch&amp;type=image</t>
  </si>
  <si>
    <t>W.202b</t>
  </si>
  <si>
    <t>02_bien_nguy_hiem/W.202b.svg</t>
  </si>
  <si>
    <t>https://commons.wikimedia.org/wiki/File:Vietnam_road_sign_W202b.svg</t>
  </si>
  <si>
    <t>5ca0a0b41e1952b474abb1a21170839f637037302ff1ab0d6308b2e881283581</t>
  </si>
  <si>
    <t>09f2470f1b160c0c</t>
  </si>
  <si>
    <t>https://commons.wikimedia.org/w/index.php?search=Vietnam%20road%20sign%20W202b&amp;title=Special:MediaSearch&amp;type=image</t>
  </si>
  <si>
    <t>W.203a</t>
  </si>
  <si>
    <t>W.203</t>
  </si>
  <si>
    <t>Đường bị thu hẹp</t>
  </si>
  <si>
    <t>02_bien_nguy_hiem/W.203a.svg</t>
  </si>
  <si>
    <t>https://commons.wikimedia.org/wiki/File:Vietnam_road_sign_W203a.svg</t>
  </si>
  <si>
    <t>e3dbe8137917d1aabdadcccd3bdc03a329039c134474046715a2e5b34d7b6820</t>
  </si>
  <si>
    <t>2bd4551717160c0c</t>
  </si>
  <si>
    <t>https://commons.wikimedia.org/w/index.php?search=Vietnam%20road%20sign%20W203a&amp;title=Special:MediaSearch&amp;type=image</t>
  </si>
  <si>
    <t>W.203b</t>
  </si>
  <si>
    <t>02_bien_nguy_hiem/W.203b.svg</t>
  </si>
  <si>
    <t>https://commons.wikimedia.org/wiki/File:Vietnam_road_sign_W203b.svg</t>
  </si>
  <si>
    <t>09fc8bfaafb77f8970b1e0b8c4233c256399c5beea40922bd548784ea84c081f</t>
  </si>
  <si>
    <t>2bd4550f17160c0c</t>
  </si>
  <si>
    <t>https://commons.wikimedia.org/w/index.php?search=Vietnam%20road%20sign%20W203b&amp;title=Special:MediaSearch&amp;type=image</t>
  </si>
  <si>
    <t>W.203c</t>
  </si>
  <si>
    <t>02_bien_nguy_hiem/W.203c.svg</t>
  </si>
  <si>
    <t>https://commons.wikimedia.org/wiki/File:Vietnam_road_sign_W203c.svg</t>
  </si>
  <si>
    <t>d6319ba58b2587e8a21dcf7606dd492a7e70acd6444be9f3ff4eced605f48a5d</t>
  </si>
  <si>
    <t>23d4550f17160c0c</t>
  </si>
  <si>
    <t>https://commons.wikimedia.org/w/index.php?search=Vietnam%20road%20sign%20W203c&amp;title=Special:MediaSearch&amp;type=image</t>
  </si>
  <si>
    <t>W.204</t>
  </si>
  <si>
    <t>Đường hai chiều</t>
  </si>
  <si>
    <t>02_bien_nguy_hiem/W.204.svg</t>
  </si>
  <si>
    <t>https://commons.wikimedia.org/wiki/File:Vietnam_road_sign_W204.svg</t>
  </si>
  <si>
    <t>6a54b50a0229139f7d2256a81b750f2f23195e1323f23dd194b970f3713b98b2</t>
  </si>
  <si>
    <t>https://commons.wikimedia.org/w/index.php?search=Vietnam%20road%20sign%20W204&amp;title=Special:MediaSearch&amp;type=image</t>
  </si>
  <si>
    <t>W.205a</t>
  </si>
  <si>
    <t>W.205</t>
  </si>
  <si>
    <t>Đường giao nhau</t>
  </si>
  <si>
    <t>02_bien_nguy_hiem/W.205a.svg</t>
  </si>
  <si>
    <t>https://commons.wikimedia.org/wiki/File:Vietnam_road_sign_W205a.svg</t>
  </si>
  <si>
    <t>bc6a5047e4c3920d95a1f838a2ea221d32a92b93919aae2afa52d18db436b129</t>
  </si>
  <si>
    <t>13cc4d0f2b160c0c</t>
  </si>
  <si>
    <t>https://commons.wikimedia.org/w/index.php?search=Vietnam%20road%20sign%20W205a&amp;title=Special:MediaSearch&amp;type=image</t>
  </si>
  <si>
    <t>W.205b</t>
  </si>
  <si>
    <t>02_bien_nguy_hiem/W.205b.svg</t>
  </si>
  <si>
    <t>https://commons.wikimedia.org/wiki/File:Vietnam_road_sign_W205b.svg</t>
  </si>
  <si>
    <t>8522956596a388fc492c4db5f449dfc32ef45f03df9c4082eceef2a6eb10ac68</t>
  </si>
  <si>
    <t>1be44d2f33160c0c</t>
  </si>
  <si>
    <t>https://commons.wikimedia.org/w/index.php?search=Vietnam%20road%20sign%20W205b&amp;title=Special:MediaSearch&amp;type=image</t>
  </si>
  <si>
    <t>W.205c</t>
  </si>
  <si>
    <t>02_bien_nguy_hiem/W.205c.svg</t>
  </si>
  <si>
    <t>https://commons.wikimedia.org/wiki/File:Vietnam_road_sign_W205c.svg</t>
  </si>
  <si>
    <t>f360c448eb610b6565ea8fdc98338e1076847ffafd00901aeb21b423841f2093</t>
  </si>
  <si>
    <t>27d84d0b33160c0c</t>
  </si>
  <si>
    <t>https://commons.wikimedia.org/w/index.php?search=Vietnam%20road%20sign%20W205c&amp;title=Special:MediaSearch&amp;type=image</t>
  </si>
  <si>
    <t>W.205d</t>
  </si>
  <si>
    <t>02_bien_nguy_hiem/W.205d.svg</t>
  </si>
  <si>
    <t>https://commons.wikimedia.org/wiki/File:Vietnam_road_sign_W205d.svg</t>
  </si>
  <si>
    <t>996a46d1a4c32ec610504febe15faa1f3b44e3e8a7a498a544fbd14a0a20df32</t>
  </si>
  <si>
    <t>13cc490f33160c0c</t>
  </si>
  <si>
    <t>https://commons.wikimedia.org/w/index.php?search=Vietnam%20road%20sign%20W205d&amp;title=Special:MediaSearch&amp;type=image</t>
  </si>
  <si>
    <t>W.205e</t>
  </si>
  <si>
    <t>02_bien_nguy_hiem/W.205e.svg</t>
  </si>
  <si>
    <t>https://commons.wikimedia.org/wiki/File:Vietnam_road_sign_W205e.svg</t>
  </si>
  <si>
    <t>f1a44afc575f895c87986acb1e81cef2e9cab47ee1a0fe56ba03e326f699187b</t>
  </si>
  <si>
    <t>13cc4d0f33160c0c</t>
  </si>
  <si>
    <t>https://commons.wikimedia.org/w/index.php?search=Vietnam%20road%20sign%20W205e&amp;title=Special:MediaSearch&amp;type=image</t>
  </si>
  <si>
    <t>W.206</t>
  </si>
  <si>
    <t>Giao nhau chạy theo vòng xuyến</t>
  </si>
  <si>
    <t>02_bien_nguy_hiem/W.206.svg</t>
  </si>
  <si>
    <t>https://commons.wikimedia.org/wiki/File:Vietnam_road_sign_W206.svg</t>
  </si>
  <si>
    <t>6cc3f841b2daf30127dc86955e6a769a4df22dead11609f97a451cfc45162944</t>
  </si>
  <si>
    <t>2bc4553323160c0c</t>
  </si>
  <si>
    <t>https://commons.wikimedia.org/w/index.php?search=Vietnam%20road%20sign%20W206&amp;title=Special:MediaSearch&amp;type=image</t>
  </si>
  <si>
    <t>W.207a</t>
  </si>
  <si>
    <t>W.207</t>
  </si>
  <si>
    <t>Giao nhau với đường không ưu tiên (đường nhánh)</t>
  </si>
  <si>
    <t>02_bien_nguy_hiem/W.207a.svg</t>
  </si>
  <si>
    <t>https://commons.wikimedia.org/wiki/File:Vietnam_road_sign_W207a.svg</t>
  </si>
  <si>
    <t>85e8a0954e97f47369aeda63c662c8ee1caeee8279297d4e2fef977f4025bbb3</t>
  </si>
  <si>
    <t>33cc4d0f2b160c0c</t>
  </si>
  <si>
    <t>https://commons.wikimedia.org/w/index.php?search=Vietnam%20road%20sign%20W207a&amp;title=Special:MediaSearch&amp;type=image</t>
  </si>
  <si>
    <t>W.207b</t>
  </si>
  <si>
    <t>02_bien_nguy_hiem/W.207b.svg</t>
  </si>
  <si>
    <t>https://commons.wikimedia.org/wiki/File:Vietnam_road_sign_W207b.svg</t>
  </si>
  <si>
    <t>fc70d4d86e777553933e7f6bf253b9c6e685b69a353ac7625ff517dbdd34583b</t>
  </si>
  <si>
    <t>33cc4d0b2b160c0c</t>
  </si>
  <si>
    <t>https://commons.wikimedia.org/w/index.php?search=Vietnam%20road%20sign%20W207b&amp;title=Special:MediaSearch&amp;type=image</t>
  </si>
  <si>
    <t>W.207c</t>
  </si>
  <si>
    <t>02_bien_nguy_hiem/W.207c.svg</t>
  </si>
  <si>
    <t>https://commons.wikimedia.org/wiki/File:Vietnam_road_sign_W207c.svg</t>
  </si>
  <si>
    <t>95547d88f5e76c7fe114f1889ea88afba71394d6c87f3caa493ddf45fab0b32e</t>
  </si>
  <si>
    <t>33cc4d2f2b160c0c</t>
  </si>
  <si>
    <t>https://commons.wikimedia.org/w/index.php?search=Vietnam%20road%20sign%20W207c&amp;title=Special:MediaSearch&amp;type=image</t>
  </si>
  <si>
    <t>W.207d</t>
  </si>
  <si>
    <t>02_bien_nguy_hiem/W.207d.svg</t>
  </si>
  <si>
    <t>https://commons.wikimedia.org/wiki/File:Vietnam_road_sign_W207d.svg</t>
  </si>
  <si>
    <t>64d2cc9ab15fe8d755d0a66ec16e2e6e89046bd47ca1f29a09d8792d6c6a6dd3</t>
  </si>
  <si>
    <t>33cc4d0f0b160c0c</t>
  </si>
  <si>
    <t>https://commons.wikimedia.org/w/index.php?search=Vietnam%20road%20sign%20W207d&amp;title=Special:MediaSearch&amp;type=image</t>
  </si>
  <si>
    <t>W.207e</t>
  </si>
  <si>
    <t>02_bien_nguy_hiem/W.207e.svg</t>
  </si>
  <si>
    <t>https://commons.wikimedia.org/wiki/File:Vietnam_road_sign_W207e.svg</t>
  </si>
  <si>
    <t>1624f5a5d592db257490d673d9c7febb7e7ed9ac9439954d9f40af812f08bc33</t>
  </si>
  <si>
    <t>33cc4d0f2f160c0c</t>
  </si>
  <si>
    <t>https://commons.wikimedia.org/w/index.php?search=Vietnam%20road%20sign%20W207e&amp;title=Special:MediaSearch&amp;type=image</t>
  </si>
  <si>
    <t>W.207f</t>
  </si>
  <si>
    <t>02_bien_nguy_hiem/W.207f.svg</t>
  </si>
  <si>
    <t>https://commons.wikimedia.org/wiki/File:Vietnam_road_sign_W207f.svg</t>
  </si>
  <si>
    <t>65301250970ae73a54df0b58ab092f3b3ea726a73839833057a1ba96edecefaf</t>
  </si>
  <si>
    <t>https://commons.wikimedia.org/w/index.php?search=Vietnam%20road%20sign%20W207f&amp;title=Special:MediaSearch&amp;type=image</t>
  </si>
  <si>
    <t>W.207g</t>
  </si>
  <si>
    <t>02_bien_nguy_hiem/W.207g.svg</t>
  </si>
  <si>
    <t>https://commons.wikimedia.org/wiki/File:Vietnam_road_sign_W207g.svg</t>
  </si>
  <si>
    <t>497914d65494ed32926d552e48bb27a13508ee86dcde08067ecb493cdcb61ed8</t>
  </si>
  <si>
    <t>https://commons.wikimedia.org/w/index.php?search=Vietnam%20road%20sign%20W207g&amp;title=Special:MediaSearch&amp;type=image</t>
  </si>
  <si>
    <t>W.207h</t>
  </si>
  <si>
    <t>02_bien_nguy_hiem/W.207h.svg</t>
  </si>
  <si>
    <t>https://commons.wikimedia.org/wiki/File:Vietnam_road_sign_W207h.svg</t>
  </si>
  <si>
    <t>982084414b88ff896ff74c294ff8ca506f39b3fd3ccaad9b2083b664276506dd</t>
  </si>
  <si>
    <t>33cc4d0f33160c0c</t>
  </si>
  <si>
    <t>https://commons.wikimedia.org/w/index.php?search=Vietnam%20road%20sign%20W207h&amp;title=Special:MediaSearch&amp;type=image</t>
  </si>
  <si>
    <t>W.207i</t>
  </si>
  <si>
    <t>02_bien_nguy_hiem/W.207i.svg</t>
  </si>
  <si>
    <t>https://commons.wikimedia.org/wiki/File:Vietnam_road_sign_W207i.svg</t>
  </si>
  <si>
    <t>212aee2f90dae9044dcc4c8f4ace59fe4dc938410fee06c852810674a5676cb7</t>
  </si>
  <si>
    <t>33cc4d0f3b160c0c</t>
  </si>
  <si>
    <t>https://commons.wikimedia.org/w/index.php?search=Vietnam%20road%20sign%20W207i&amp;title=Special:MediaSearch&amp;type=image</t>
  </si>
  <si>
    <t>W.207l</t>
  </si>
  <si>
    <t>02_bien_nguy_hiem/W.207l.svg</t>
  </si>
  <si>
    <t>https://commons.wikimedia.org/wiki/File:Vietnam_road_sign_W207l.svg</t>
  </si>
  <si>
    <t>373f72d2a9cb3e5b2d63aea7166225c37f8a32ac092ff96576362783150e8d44</t>
  </si>
  <si>
    <t>33c44d0b33160c0c</t>
  </si>
  <si>
    <t>https://commons.wikimedia.org/w/index.php?search=Vietnam%20road%20sign%20W207l&amp;title=Special:MediaSearch&amp;type=image</t>
  </si>
  <si>
    <t>W.207k</t>
  </si>
  <si>
    <t>02_bien_nguy_hiem/W.207k.svg</t>
  </si>
  <si>
    <t>67b552f4eef7bc50a4bc66a27ff87e953c56386897ca53fd690c294c1d1e4ee6</t>
  </si>
  <si>
    <t>W.208</t>
  </si>
  <si>
    <t>Giao nhau với đường ưu tiên (đường chính)</t>
  </si>
  <si>
    <t>02_bien_nguy_hiem/W.208.svg</t>
  </si>
  <si>
    <t>https://commons.wikimedia.org/wiki/File:Vietnam_road_sign_W208.svg</t>
  </si>
  <si>
    <t>0a457e0dcaf05fe48f0a003af279954adaea3307bde4b7aeee7142ab8feb9473</t>
  </si>
  <si>
    <t>0c0c16332b69c403</t>
  </si>
  <si>
    <t>https://commons.wikimedia.org/w/index.php?search=Vietnam%20road%20sign%20W208&amp;title=Special:MediaSearch&amp;type=image</t>
  </si>
  <si>
    <t>W.209</t>
  </si>
  <si>
    <t>Giao nhau có tín hiệu đèn</t>
  </si>
  <si>
    <t>02_bien_nguy_hiem/W.209.svg</t>
  </si>
  <si>
    <t>https://commons.wikimedia.org/wiki/File:Vietnam_road_sign_W209.svg</t>
  </si>
  <si>
    <t>46404fba6085c84a47e8ee38169f27e420ec8296e8c259556f38472c096c38b0</t>
  </si>
  <si>
    <t>33cc4d2b2b160c0c</t>
  </si>
  <si>
    <t>https://commons.wikimedia.org/w/index.php?search=Vietnam%20road%20sign%20W209&amp;title=Special:MediaSearch&amp;type=image</t>
  </si>
  <si>
    <t>W.210</t>
  </si>
  <si>
    <t>Giao nhau với đường sắt có rào chắn</t>
  </si>
  <si>
    <t>02_bien_nguy_hiem/W.210.svg</t>
  </si>
  <si>
    <t>https://commons.wikimedia.org/wiki/File:Vietnam_road_sign_W210.svg</t>
  </si>
  <si>
    <t>6b4e701d0074885b08e0716b541ebf01db708eb2920738857ecead579b91dc13</t>
  </si>
  <si>
    <t>23c44d2b33160c0c</t>
  </si>
  <si>
    <t>https://commons.wikimedia.org/w/index.php?search=Vietnam%20road%20sign%20W210&amp;title=Special:MediaSearch&amp;type=image</t>
  </si>
  <si>
    <t>W.211</t>
  </si>
  <si>
    <t>Giao nhau với đường sắt không có rào chắn</t>
  </si>
  <si>
    <t>02_bien_nguy_hiem/W.211a.svg</t>
  </si>
  <si>
    <t>https://commons.wikimedia.org/wiki/File:Vietnam_road_sign_W211a.svg</t>
  </si>
  <si>
    <t>af4925f9397d7365fce1395ba00abdf515733a360dc0ec2133db1b1f25199db5</t>
  </si>
  <si>
    <t>W.212</t>
  </si>
  <si>
    <t>Cầu hẹp</t>
  </si>
  <si>
    <t>02_bien_nguy_hiem/W.212.svg</t>
  </si>
  <si>
    <t>https://commons.wikimedia.org/wiki/File:Vietnam_road_sign_W212.svg</t>
  </si>
  <si>
    <t>f44962e8c9e942b07291413794446c5bbf9f120ca7b68de2c7f3aefa104d4fd9</t>
  </si>
  <si>
    <t>2bd44d0f17160c0c</t>
  </si>
  <si>
    <t>https://commons.wikimedia.org/w/index.php?search=Vietnam%20road%20sign%20W212&amp;title=Special:MediaSearch&amp;type=image</t>
  </si>
  <si>
    <t>W.213</t>
  </si>
  <si>
    <t>Cầu tạm</t>
  </si>
  <si>
    <t>02_bien_nguy_hiem/W.213.svg</t>
  </si>
  <si>
    <t>https://commons.wikimedia.org/wiki/File:Vietnam_road_sign_W213.svg</t>
  </si>
  <si>
    <t>bf0ac40d65bcef28bc7f1a450daec5d634838028384f3b083c34a611f1fd8584</t>
  </si>
  <si>
    <t>ccb213170f160c0c</t>
  </si>
  <si>
    <t>https://commons.wikimedia.org/w/index.php?search=Vietnam%20road%20sign%20W213&amp;title=Special:MediaSearch&amp;type=image</t>
  </si>
  <si>
    <t>W.214</t>
  </si>
  <si>
    <t>Cầu quay - cầu cất</t>
  </si>
  <si>
    <t>02_bien_nguy_hiem/W.214.svg</t>
  </si>
  <si>
    <t>https://commons.wikimedia.org/wiki/File:Vietnam_road_sign_W214.svg</t>
  </si>
  <si>
    <t>fe97a35175d9703666efd04acda64b105a0e28fb06fc5683bd02e1032d26a76d</t>
  </si>
  <si>
    <t>4db2333b2b160c0c</t>
  </si>
  <si>
    <t>https://commons.wikimedia.org/w/index.php?search=Vietnam%20road%20sign%20W214&amp;title=Special:MediaSearch&amp;type=image</t>
  </si>
  <si>
    <t>W.215a</t>
  </si>
  <si>
    <t>W.215</t>
  </si>
  <si>
    <t>Kè, vực sâu phía trước</t>
  </si>
  <si>
    <t>02_bien_nguy_hiem/W.215a.svg</t>
  </si>
  <si>
    <t>https://commons.wikimedia.org/wiki/File:Vietnam_road_sign_W215a.svg</t>
  </si>
  <si>
    <t>ba35a471c85d4bbadf3e45589624a1a24485d97f1a09c8f01919c324d310c170</t>
  </si>
  <si>
    <t>09c367172f160c0c</t>
  </si>
  <si>
    <t>https://commons.wikimedia.org/w/index.php?search=Vietnam%20road%20sign%20W215a&amp;title=Special:MediaSearch&amp;type=image</t>
  </si>
  <si>
    <t>W.215b</t>
  </si>
  <si>
    <t>Kè, vực sâu bên đường phía bên phải</t>
  </si>
  <si>
    <t>02_bien_nguy_hiem/W.215b.svg</t>
  </si>
  <si>
    <t>https://commons.wikimedia.org/wiki/File:Vietnam_road_sign_W215b.svg</t>
  </si>
  <si>
    <t>5e476a009286393ea7e71d52d016124b843a7e46580b9056da8723cdbfd39cfd</t>
  </si>
  <si>
    <t>09e3470f33160c0c</t>
  </si>
  <si>
    <t>https://commons.wikimedia.org/w/index.php?search=Vietnam%20road%20sign%20W215b&amp;title=Special:MediaSearch&amp;type=image</t>
  </si>
  <si>
    <t>W.215c</t>
  </si>
  <si>
    <t>Kè, vực sâu bên đường phía bên trái</t>
  </si>
  <si>
    <t>02_bien_nguy_hiem/W.215c.svg</t>
  </si>
  <si>
    <t>https://commons.wikimedia.org/wiki/File:Vietnam_road_sign_W215c.svg</t>
  </si>
  <si>
    <t>1a38f0d33f6d88cd1633098a80cc2e1f34d111727c85157614a85405034e3f0e</t>
  </si>
  <si>
    <t>41381d0f33160c0c</t>
  </si>
  <si>
    <t>https://commons.wikimedia.org/w/index.php?search=Vietnam%20road%20sign%20W215c&amp;title=Special:MediaSearch&amp;type=image</t>
  </si>
  <si>
    <t>W.216a</t>
  </si>
  <si>
    <t>W.216</t>
  </si>
  <si>
    <t>Đường ngầm</t>
  </si>
  <si>
    <t>02_bien_nguy_hiem/W.216a.svg</t>
  </si>
  <si>
    <t>https://commons.wikimedia.org/wiki/File:Vietnam_road_sign_W216a.svg</t>
  </si>
  <si>
    <t>962f9cbb1fe7363326d13d28dda51191419c176e11fbc5a7d859d3fbf9e8ad85</t>
  </si>
  <si>
    <t>6996172b33160c0c</t>
  </si>
  <si>
    <t>https://commons.wikimedia.org/w/index.php?search=Vietnam%20road%20sign%20W216a&amp;title=Special:MediaSearch&amp;type=image</t>
  </si>
  <si>
    <t>W.216b</t>
  </si>
  <si>
    <t>Đường ngầm có nguy cơ lũ quét</t>
  </si>
  <si>
    <t>02_bien_nguy_hiem/W.216b.svg</t>
  </si>
  <si>
    <t>https://commons.wikimedia.org/wiki/File:Vietnam_road_sign_W216b.svg</t>
  </si>
  <si>
    <t>6e0f905031dc7d825863fd8b7dbc0dd5f027fe278191ad4cb0ccbbee7a07cc02</t>
  </si>
  <si>
    <t>https://commons.wikimedia.org/w/index.php?search=Vietnam%20road%20sign%20W216b&amp;title=Special:MediaSearch&amp;type=image</t>
  </si>
  <si>
    <t>W.217</t>
  </si>
  <si>
    <t>Bến phà</t>
  </si>
  <si>
    <t>02_bien_nguy_hiem/W.217.svg</t>
  </si>
  <si>
    <t>https://commons.wikimedia.org/wiki/File:Vietnam_road_sign_W217.svg</t>
  </si>
  <si>
    <t>cd44412a9ec72f405a91bfcebf8dfb429ea92874a4ddb740312ac80a2a909a3d</t>
  </si>
  <si>
    <t>6992171b33160c0c</t>
  </si>
  <si>
    <t>https://commons.wikimedia.org/w/index.php?search=Vietnam%20road%20sign%20W217&amp;title=Special:MediaSearch&amp;type=image</t>
  </si>
  <si>
    <t>W.218</t>
  </si>
  <si>
    <t>Cửa chui</t>
  </si>
  <si>
    <t>02_bien_nguy_hiem/W.218.svg</t>
  </si>
  <si>
    <t>https://commons.wikimedia.org/wiki/File:Vietnam_road_sign_W218.svg</t>
  </si>
  <si>
    <t>68823a2db540548db02792c9be2d20918074e9a76dbe9b4ec3d01179f94f8466</t>
  </si>
  <si>
    <t>ccb233170f0e0c0c</t>
  </si>
  <si>
    <t>https://commons.wikimedia.org/w/index.php?search=Vietnam%20road%20sign%20W218&amp;title=Special:MediaSearch&amp;type=image</t>
  </si>
  <si>
    <t>W.219</t>
  </si>
  <si>
    <t>Dốc xuống nguy hiểm</t>
  </si>
  <si>
    <t>02_bien_nguy_hiem/W.219.svg</t>
  </si>
  <si>
    <t>https://commons.wikimedia.org/wiki/File:Vietnam_road_sign_W219.svg</t>
  </si>
  <si>
    <t>97d9775a0ec8d3c28ffa9d95c5940aa515ac8a6481b12748a8124b3b0c97dfe1</t>
  </si>
  <si>
    <t>611b43033b160c0c</t>
  </si>
  <si>
    <t>https://commons.wikimedia.org/w/index.php?search=Vietnam%20road%20sign%20W219&amp;title=Special:MediaSearch&amp;type=image</t>
  </si>
  <si>
    <t>W.220</t>
  </si>
  <si>
    <t>Dốc lên nguy hiểm</t>
  </si>
  <si>
    <t>02_bien_nguy_hiem/W.220.svg</t>
  </si>
  <si>
    <t>https://commons.wikimedia.org/wiki/File:Vietnam_road_sign_W220.svg</t>
  </si>
  <si>
    <t>c144f9a5a3b5032eb2bfd74f78bdf5432e25f1da4595ed042ee2259bb38c4f8b</t>
  </si>
  <si>
    <t>41071d3733160c0c</t>
  </si>
  <si>
    <t>https://commons.wikimedia.org/w/index.php?search=Vietnam%20road%20sign%20W220&amp;title=Special:MediaSearch&amp;type=image</t>
  </si>
  <si>
    <t>W.221a</t>
  </si>
  <si>
    <t>W.221</t>
  </si>
  <si>
    <t>Đường lồi lõm</t>
  </si>
  <si>
    <t>02_bien_nguy_hiem/W.221a.svg</t>
  </si>
  <si>
    <t>https://commons.wikimedia.org/wiki/File:Vietnam_road_sign_W221a.svg</t>
  </si>
  <si>
    <t>a97e4dd6df555bcd2b5a17b15b749db54564fbc0debed2e630870fb6900bda7f</t>
  </si>
  <si>
    <t>6996152b33160c0c</t>
  </si>
  <si>
    <t>https://commons.wikimedia.org/w/index.php?search=Vietnam%20road%20sign%20W221a&amp;title=Special:MediaSearch&amp;type=image</t>
  </si>
  <si>
    <t>W.221b</t>
  </si>
  <si>
    <t>Đường có gồ giảm tốc</t>
  </si>
  <si>
    <t>02_bien_nguy_hiem/W.221b.svg</t>
  </si>
  <si>
    <t>https://commons.wikimedia.org/wiki/File:Vietnam_road_sign_W221b.svg</t>
  </si>
  <si>
    <t>4485059ef945673b4a98c45317a1911c3911ec52325b2cfcf3330066b9274fcd</t>
  </si>
  <si>
    <t>71cc4d2b33160c0c</t>
  </si>
  <si>
    <t>https://commons.wikimedia.org/w/index.php?search=Vietnam%20road%20sign%20W221b&amp;title=Special:MediaSearch&amp;type=image</t>
  </si>
  <si>
    <t>W.222a</t>
  </si>
  <si>
    <t>W.222</t>
  </si>
  <si>
    <t>Đường trơn</t>
  </si>
  <si>
    <t>02_bien_nguy_hiem/W.222a.svg</t>
  </si>
  <si>
    <t>https://commons.wikimedia.org/wiki/File:Vietnam_road_sign_W222a.svg</t>
  </si>
  <si>
    <t>fc89e89453e82c34aa428999fb57b57e4abbe274c8a25ab9d2d3e888bc3599bb</t>
  </si>
  <si>
    <t>https://commons.wikimedia.org/w/index.php?search=Vietnam%20road%20sign%20W222a&amp;title=Special:MediaSearch&amp;type=image</t>
  </si>
  <si>
    <t>W.222b</t>
  </si>
  <si>
    <t>Lề đường nguy hiểm</t>
  </si>
  <si>
    <t>02_bien_nguy_hiem/W.222b.svg</t>
  </si>
  <si>
    <t>https://commons.wikimedia.org/wiki/File:Vietnam_road_sign_W222b.svg</t>
  </si>
  <si>
    <t>c63f5f60ab65e1af3b6546683c647f0798ccb3b9f1b12d8e3eb2bbf34aac7fff</t>
  </si>
  <si>
    <t>39c44d2b33160c0c</t>
  </si>
  <si>
    <t>https://commons.wikimedia.org/w/index.php?search=Vietnam%20road%20sign%20W222b&amp;title=Special:MediaSearch&amp;type=image</t>
  </si>
  <si>
    <t>W.223a</t>
  </si>
  <si>
    <t>W.223</t>
  </si>
  <si>
    <t>Vách núi nguy hiểm</t>
  </si>
  <si>
    <t>02_bien_nguy_hiem/W.223a.svg</t>
  </si>
  <si>
    <t>https://commons.wikimedia.org/wiki/File:Vietnam_road_sign_W223a.svg</t>
  </si>
  <si>
    <t>c6f73c598f7e540e277363e74dedb63224ceabe244b02a71464a3d0c8ca7383a</t>
  </si>
  <si>
    <t>309b472727160c0c</t>
  </si>
  <si>
    <t>https://commons.wikimedia.org/w/index.php?search=Vietnam%20road%20sign%20W223a&amp;title=Special:MediaSearch&amp;type=image</t>
  </si>
  <si>
    <t>W.223b</t>
  </si>
  <si>
    <t>02_bien_nguy_hiem/W.223b.svg</t>
  </si>
  <si>
    <t>https://commons.wikimedia.org/wiki/File:Vietnam_road_sign_W223b.svg</t>
  </si>
  <si>
    <t>b46862e4e545d05e51134f0b26f10c04a33f7663fa8b9154f6f7178d291b8000</t>
  </si>
  <si>
    <t>c3261d1b1b160c0c</t>
  </si>
  <si>
    <t>https://commons.wikimedia.org/w/index.php?search=Vietnam%20road%20sign%20W223b&amp;title=Special:MediaSearch&amp;type=image</t>
  </si>
  <si>
    <t>W.224</t>
  </si>
  <si>
    <t>Đường người đi bộ cắt ngang</t>
  </si>
  <si>
    <t>02_bien_nguy_hiem/W.224.svg</t>
  </si>
  <si>
    <t>https://commons.wikimedia.org/wiki/File:Vietnam_road_sign_W224.svg</t>
  </si>
  <si>
    <t>390120bc2b0351e26aabe560b1c5c3c1ed026451316bf15322b9a2506234a51f</t>
  </si>
  <si>
    <t>23d44d2b2b160c0c</t>
  </si>
  <si>
    <t>https://commons.wikimedia.org/w/index.php?search=Vietnam%20road%20sign%20W224&amp;title=Special:MediaSearch&amp;type=image</t>
  </si>
  <si>
    <t>W.225</t>
  </si>
  <si>
    <t>Trẻ em</t>
  </si>
  <si>
    <t>02_bien_nguy_hiem/W.225.svg</t>
  </si>
  <si>
    <t>https://commons.wikimedia.org/wiki/File:Vietnam_road_sign_W225.svg</t>
  </si>
  <si>
    <t>f36deba27383ea276999c1ac862f69379c13597bea1603ad6a02e0a2cd50811e</t>
  </si>
  <si>
    <t>23cc5d0f33160c0c</t>
  </si>
  <si>
    <t>https://commons.wikimedia.org/w/index.php?search=Vietnam%20road%20sign%20W225&amp;title=Special:MediaSearch&amp;type=image</t>
  </si>
  <si>
    <t>W.226</t>
  </si>
  <si>
    <t>Đường người đi xe đạp cắt ngang</t>
  </si>
  <si>
    <t>02_bien_nguy_hiem/W.226.svg</t>
  </si>
  <si>
    <t>https://commons.wikimedia.org/wiki/File:Vietnam_road_sign_W226.svg</t>
  </si>
  <si>
    <t>34203607377ad5c02d89b1f7d69262b59d0e2398f63c802a933d1b1dd5f145fb</t>
  </si>
  <si>
    <t>29d44d0b2b160c0c</t>
  </si>
  <si>
    <t>https://commons.wikimedia.org/w/index.php?search=Vietnam%20road%20sign%20W226&amp;title=Special:MediaSearch&amp;type=image</t>
  </si>
  <si>
    <t>W.227</t>
  </si>
  <si>
    <t>Công trường</t>
  </si>
  <si>
    <t>02_bien_nguy_hiem/W.227.svg</t>
  </si>
  <si>
    <t>https://commons.wikimedia.org/wiki/File:Vietnam_road_sign_W227.svg</t>
  </si>
  <si>
    <t>45080aeb1331a9bea9d13c4affd4f862e2a0f0fa5e3d1678382d93557461a228</t>
  </si>
  <si>
    <t>c53a3d2f2f160c0c</t>
  </si>
  <si>
    <t>https://commons.wikimedia.org/w/index.php?search=Vietnam%20road%20sign%20W227&amp;title=Special:MediaSearch&amp;type=image</t>
  </si>
  <si>
    <t>W.228a</t>
  </si>
  <si>
    <t>W.228</t>
  </si>
  <si>
    <t>Đá lở</t>
  </si>
  <si>
    <t>02_bien_nguy_hiem/W.228a.svg</t>
  </si>
  <si>
    <t>https://commons.wikimedia.org/wiki/File:Vietnam_road_sign_W228a.svg</t>
  </si>
  <si>
    <t>aba1a973486c8ec94373c8b06a3133bfa4040c7b38d8e04f74f4b66abf13444b</t>
  </si>
  <si>
    <t>308b472727160c0c</t>
  </si>
  <si>
    <t>https://commons.wikimedia.org/w/index.php?search=Vietnam%20road%20sign%20W228a&amp;title=Special:MediaSearch&amp;type=image</t>
  </si>
  <si>
    <t>W.228b</t>
  </si>
  <si>
    <t>02_bien_nguy_hiem/W.228b.svg</t>
  </si>
  <si>
    <t>https://commons.wikimedia.org/wiki/File:Vietnam_road_sign_W228b.svg</t>
  </si>
  <si>
    <t>5ba90500431ca478ba705926aac93f3c9e5d50305b98448f08878aade219f050</t>
  </si>
  <si>
    <t>c32c1d1b1b160c0c</t>
  </si>
  <si>
    <t>https://commons.wikimedia.org/w/index.php?search=Vietnam%20road%20sign%20W228b&amp;title=Special:MediaSearch&amp;type=image</t>
  </si>
  <si>
    <t>W.228c</t>
  </si>
  <si>
    <t>Sỏi đá bắn lên</t>
  </si>
  <si>
    <t>02_bien_nguy_hiem/W.228c.svg</t>
  </si>
  <si>
    <t>https://commons.wikimedia.org/wiki/File:Vietnam_road_sign_W228c.svg</t>
  </si>
  <si>
    <t>89f851d0acfc598f5e1ada48cc5637c16315b07387ad53b17ab09e33d21b1e44</t>
  </si>
  <si>
    <t>25d85d1b13160c0c</t>
  </si>
  <si>
    <t>https://commons.wikimedia.org/w/index.php?search=Vietnam%20road%20sign%20W228c&amp;title=Special:MediaSearch&amp;type=image</t>
  </si>
  <si>
    <t>W.228d</t>
  </si>
  <si>
    <t>Nền đường yếu</t>
  </si>
  <si>
    <t>02_bien_nguy_hiem/W.228d.svg</t>
  </si>
  <si>
    <t>https://commons.wikimedia.org/wiki/File:Vietnam_road_sign_W228d.svg</t>
  </si>
  <si>
    <t>769abd42001f0d866110593637e70f913eee568f31995870fac3add44c48e7f5</t>
  </si>
  <si>
    <t>61cc552b2b160c0c</t>
  </si>
  <si>
    <t>https://commons.wikimedia.org/w/index.php?search=Vietnam%20road%20sign%20W228d&amp;title=Special:MediaSearch&amp;type=image</t>
  </si>
  <si>
    <t>W.229</t>
  </si>
  <si>
    <t>Dải máy bay lên xuống</t>
  </si>
  <si>
    <t>02_bien_nguy_hiem/W.229.svg</t>
  </si>
  <si>
    <t>https://commons.wikimedia.org/wiki/File:Vietnam_road_sign_W229.svg</t>
  </si>
  <si>
    <t>fc77302ec89162740f50753cd7fc525376a319b796a61138e7edad0ed8c276f6</t>
  </si>
  <si>
    <t>53ac0d1f33160c0c</t>
  </si>
  <si>
    <t>https://commons.wikimedia.org/w/index.php?search=Vietnam%20road%20sign%20W229&amp;title=Special:MediaSearch&amp;type=image</t>
  </si>
  <si>
    <t>W.230</t>
  </si>
  <si>
    <t>Gia súc</t>
  </si>
  <si>
    <t>02_bien_nguy_hiem/W.230.svg</t>
  </si>
  <si>
    <t>https://commons.wikimedia.org/wiki/File:Vietnam_road_sign_W230.svg</t>
  </si>
  <si>
    <t>02f3c7c25fcbf9a0c06b87adfffdd42ca8fbb599e0494755677689c9ed3ed7cd</t>
  </si>
  <si>
    <t>63dc1d2333160c0c</t>
  </si>
  <si>
    <t>https://commons.wikimedia.org/w/index.php?search=Vietnam%20road%20sign%20W230&amp;title=Special:MediaSearch&amp;type=image</t>
  </si>
  <si>
    <t>W.231</t>
  </si>
  <si>
    <t>Thú rừng vượt qua đường</t>
  </si>
  <si>
    <t>02_bien_nguy_hiem/W.231.svg</t>
  </si>
  <si>
    <t>https://commons.wikimedia.org/wiki/File:Vietnam_road_sign_W231.svg</t>
  </si>
  <si>
    <t>90a8621f811478ba039db8b45ffaad26b892eefe17be046c03f4ce726a52277b</t>
  </si>
  <si>
    <t>23d44d2733160c0c</t>
  </si>
  <si>
    <t>Mã W.239 là mã họ nhóm (mã mẹ), không có hình riêng</t>
  </si>
  <si>
    <t>https://commons.wikimedia.org/w/index.php?search=Vietnam%20road%20sign%20W231&amp;title=Special:MediaSearch&amp;type=image</t>
  </si>
  <si>
    <t>W.232</t>
  </si>
  <si>
    <t>Gió ngang</t>
  </si>
  <si>
    <t>02_bien_nguy_hiem/W.232.svg</t>
  </si>
  <si>
    <t>https://commons.wikimedia.org/wiki/File:Vietnam_road_sign_W232.svg</t>
  </si>
  <si>
    <t>348ec7fb378611e375a10c5c95d7c0309b845ee5b34312cba78b8c0147450e02</t>
  </si>
  <si>
    <t>0be4552733160c0c</t>
  </si>
  <si>
    <t>File SVG trùng SHA-256 với mã: W.239. Không đồng nghĩa hai mã là cùng biển.</t>
  </si>
  <si>
    <t>https://commons.wikimedia.org/w/index.php?search=Vietnam%20road%20sign%20W232&amp;title=Special:MediaSearch&amp;type=image</t>
  </si>
  <si>
    <t>W.233</t>
  </si>
  <si>
    <t>Nguy hiểm khác</t>
  </si>
  <si>
    <t>02_bien_nguy_hiem/W.233.svg</t>
  </si>
  <si>
    <t>https://commons.wikimedia.org/wiki/File:Vietnam_road_sign_W233.svg</t>
  </si>
  <si>
    <t>14773417c5fb1992304f33b235893b7ba34437248f2493e886e48409fee5dca4</t>
  </si>
  <si>
    <t>13cc692b2b160c0c</t>
  </si>
  <si>
    <t>https://commons.wikimedia.org/w/index.php?search=Vietnam%20road%20sign%20W233&amp;title=Special:MediaSearch&amp;type=image</t>
  </si>
  <si>
    <t>W.234</t>
  </si>
  <si>
    <t>Giao nhau với đường hai chiều</t>
  </si>
  <si>
    <t>02_bien_nguy_hiem/W.234.svg</t>
  </si>
  <si>
    <t>https://commons.wikimedia.org/wiki/File:Vietnam_road_sign_W234.svg</t>
  </si>
  <si>
    <t>e4e80bee740dfa4c7d76128adee653049df0f62281bc4fcd9b86ca4412824d43</t>
  </si>
  <si>
    <t>61d6552b33160c0c</t>
  </si>
  <si>
    <t>https://commons.wikimedia.org/w/index.php?search=Vietnam%20road%20sign%20W234&amp;title=Special:MediaSearch&amp;type=image</t>
  </si>
  <si>
    <t>W.235</t>
  </si>
  <si>
    <t>Đường đôi</t>
  </si>
  <si>
    <t>02_bien_nguy_hiem/W.235.svg</t>
  </si>
  <si>
    <t>https://commons.wikimedia.org/wiki/File:Vietnam_road_sign_W235.svg</t>
  </si>
  <si>
    <t>ad2258cf14045b6aaec7e220c66aae87d51974345675a700f094950c6ab7c865</t>
  </si>
  <si>
    <t>2bd4552b2b160c0c</t>
  </si>
  <si>
    <t>https://commons.wikimedia.org/w/index.php?search=Vietnam%20road%20sign%20W235&amp;title=Special:MediaSearch&amp;type=image</t>
  </si>
  <si>
    <t>W.236</t>
  </si>
  <si>
    <t>Kết thúc đường đôi</t>
  </si>
  <si>
    <t>02_bien_nguy_hiem/W.236.svg</t>
  </si>
  <si>
    <t>https://commons.wikimedia.org/wiki/File:Vietnam_road_sign_W236.svg</t>
  </si>
  <si>
    <t>6890b072246a5df8c7fbf49d45da56a7b3789c120707286fd75e67793a65465d</t>
  </si>
  <si>
    <t>31cc4d3333160c0c</t>
  </si>
  <si>
    <t>https://commons.wikimedia.org/w/index.php?search=Vietnam%20road%20sign%20W236&amp;title=Special:MediaSearch&amp;type=image</t>
  </si>
  <si>
    <t>W.237</t>
  </si>
  <si>
    <t>Cầu vồng</t>
  </si>
  <si>
    <t>02_bien_nguy_hiem/W.237.svg</t>
  </si>
  <si>
    <t>https://commons.wikimedia.org/wiki/File:Vietnam_road_sign_W237.svg</t>
  </si>
  <si>
    <t>47daa5c2f7e791317bd6607781c5d216c27efc2c02aceb5e9d132a6862710c6e</t>
  </si>
  <si>
    <t>4db2172b33160c0c</t>
  </si>
  <si>
    <t>https://commons.wikimedia.org/w/index.php?search=Vietnam%20road%20sign%20W237&amp;title=Special:MediaSearch&amp;type=image</t>
  </si>
  <si>
    <t>W.238</t>
  </si>
  <si>
    <t>Đường cao tốc phía trước</t>
  </si>
  <si>
    <t>02_bien_nguy_hiem/W.238.svg</t>
  </si>
  <si>
    <t>https://commons.wikimedia.org/wiki/File:Vietnam_road_sign_W238.svg</t>
  </si>
  <si>
    <t>b31331da96e2ef1b4cc4c81501dfda455b276a9eb16abbf8429c383f2ee53950</t>
  </si>
  <si>
    <t>https://commons.wikimedia.org/w/index.php?search=Vietnam%20road%20sign%20W238&amp;title=Special:MediaSearch&amp;type=image</t>
  </si>
  <si>
    <t>W.239a</t>
  </si>
  <si>
    <t>W.239</t>
  </si>
  <si>
    <t>Đường cáp điện ở phía trên</t>
  </si>
  <si>
    <t>02_bien_nguy_hiem/W.239a.svg</t>
  </si>
  <si>
    <t>https://commons.wikimedia.org/wiki/File:Vietnam_road_sign_W239a.svg</t>
  </si>
  <si>
    <t>a68dcfdf11c343730620e0b006c425befc9ea75dc2342f3d0769b0e496b48275</t>
  </si>
  <si>
    <t>03d4692b2b160c0c</t>
  </si>
  <si>
    <t>https://commons.wikimedia.org/w/index.php?search=Vietnam%20road%20sign%20W239a&amp;title=Special:MediaSearch&amp;type=image</t>
  </si>
  <si>
    <t>W.239b</t>
  </si>
  <si>
    <t>Chiều cao tĩnh không thực tế</t>
  </si>
  <si>
    <t>02_bien_nguy_hiem/W.239b.svg</t>
  </si>
  <si>
    <t>https://commons.wikimedia.org/wiki/File:Vietnam_road_sign_W239b.svg</t>
  </si>
  <si>
    <t>6d385b768a57bda0481ec769689e58de1e461c4b52c4cb9f1dd887fec311f803</t>
  </si>
  <si>
    <t>0fcc4d3b2b160c0c</t>
  </si>
  <si>
    <t>https://commons.wikimedia.org/w/index.php?search=Vietnam%20road%20sign%20W239b&amp;title=Special:MediaSearch&amp;type=image</t>
  </si>
  <si>
    <t>W.240</t>
  </si>
  <si>
    <t>Đường hầm</t>
  </si>
  <si>
    <t>02_bien_nguy_hiem/W.240.svg</t>
  </si>
  <si>
    <t>https://commons.wikimedia.org/wiki/File:Vietnam_road_sign_W240.svg</t>
  </si>
  <si>
    <t>6024e29bc225afe6d2ba1240e3f30a540da40f333bed97424f838baa0f8153bf</t>
  </si>
  <si>
    <t>https://commons.wikimedia.org/w/index.php?search=Vietnam%20road%20sign%20W240&amp;title=Special:MediaSearch&amp;type=image</t>
  </si>
  <si>
    <t>W.241</t>
  </si>
  <si>
    <t>Ùn tắc giao thông</t>
  </si>
  <si>
    <t>02_bien_nguy_hiem/W.241.svg</t>
  </si>
  <si>
    <t>https://commons.wikimedia.org/wiki/File:Vietnam_road_sign_W241.svg</t>
  </si>
  <si>
    <t>d2156bdc651d1542e5b7512b5e3050f72fe4395172fed2a26b4e03769378a6e2</t>
  </si>
  <si>
    <t>638c052333160c0c</t>
  </si>
  <si>
    <t>https://commons.wikimedia.org/w/index.php?search=Vietnam%20road%20sign%20W241&amp;title=Special:MediaSearch&amp;type=image</t>
  </si>
  <si>
    <t>W.242a</t>
  </si>
  <si>
    <t>W.242</t>
  </si>
  <si>
    <t>Nơi đường sắt giao vuông góc với đường bộ</t>
  </si>
  <si>
    <t>02_bien_nguy_hiem/W.242a.svg</t>
  </si>
  <si>
    <t>https://commons.wikimedia.org/wiki/File:Vietnam_road_sign_W242a.svg</t>
  </si>
  <si>
    <t>5c74dd6ef4aadd8c7ee52128f08b1b4097f638d946fea2dd8d05d0fbf0d699e4</t>
  </si>
  <si>
    <t>00e0f03333f0e000</t>
  </si>
  <si>
    <t>https://commons.wikimedia.org/w/index.php?search=Vietnam%20road%20sign%20W242a&amp;title=Special:MediaSearch&amp;type=image</t>
  </si>
  <si>
    <t>W.242b</t>
  </si>
  <si>
    <t>02_bien_nguy_hiem/W.242b.svg</t>
  </si>
  <si>
    <t>https://commons.wikimedia.org/wiki/File:Vietnam_road_sign_W242b.svg</t>
  </si>
  <si>
    <t>5bfa129bcfbf6ad6f5671b8a0115399e9da344c6ffa3f52465842e8359cfe55e</t>
  </si>
  <si>
    <t>e0b20fc82b33f0e0</t>
  </si>
  <si>
    <t>https://commons.wikimedia.org/w/index.php?search=Vietnam%20road%20sign%20W242b&amp;title=Special:MediaSearch&amp;type=image</t>
  </si>
  <si>
    <t>W.243a</t>
  </si>
  <si>
    <t>W.243</t>
  </si>
  <si>
    <t>Nơi đường sắt giao không vuông góc với đường bộ</t>
  </si>
  <si>
    <t>02_bien_nguy_hiem/W.243a.svg</t>
  </si>
  <si>
    <t>https://commons.wikimedia.org/wiki/File:Vietnam_road_sign_W243a.svg</t>
  </si>
  <si>
    <t>ac49d38fd1955e4a3801522fb0d04f68c68ba2630cd5bddf962459cc0540c0ea</t>
  </si>
  <si>
    <t>236163471d316123</t>
  </si>
  <si>
    <t>https://commons.wikimedia.org/w/index.php?search=Vietnam%20road%20sign%20W243a&amp;title=Special:MediaSearch&amp;type=image</t>
  </si>
  <si>
    <t>W.243b</t>
  </si>
  <si>
    <t>02_bien_nguy_hiem/W.243b.svg</t>
  </si>
  <si>
    <t>https://commons.wikimedia.org/wiki/File:Vietnam_road_sign_W243b.svg</t>
  </si>
  <si>
    <t>f5f659d8fff0f9e936e6084f6764d918c829d1dece3645daff87aec2f6a7e168</t>
  </si>
  <si>
    <t>3963471b271d3163</t>
  </si>
  <si>
    <t>https://commons.wikimedia.org/w/index.php?search=Vietnam%20road%20sign%20W243b&amp;title=Special:MediaSearch&amp;type=image</t>
  </si>
  <si>
    <t>W.243c</t>
  </si>
  <si>
    <t>02_bien_nguy_hiem/W.243c.svg</t>
  </si>
  <si>
    <t>https://commons.wikimedia.org/wiki/File:Vietnam_road_sign_W243c.svg</t>
  </si>
  <si>
    <t>c18a41f2431cafb46292153063804e8dd7a2481cef4b5b1e8eb8fa1801b40355</t>
  </si>
  <si>
    <t>23471b271b271f3b</t>
  </si>
  <si>
    <t>https://commons.wikimedia.org/w/index.php?search=Vietnam%20road%20sign%20W243c&amp;title=Special:MediaSearch&amp;type=image</t>
  </si>
  <si>
    <t>W.244</t>
  </si>
  <si>
    <t>Đoạn đường hay xảy ra tai nạn</t>
  </si>
  <si>
    <t>02_bien_nguy_hiem/W.244.svg</t>
  </si>
  <si>
    <t>https://commons.wikimedia.org/wiki/File:Vietnam_road_sign_W244.svg</t>
  </si>
  <si>
    <t>a7d3a50b1b06aebcacb21356eb018e6b4d50debc61338e952855c8fe6b38eb01</t>
  </si>
  <si>
    <t>69d447232b160c0c</t>
  </si>
  <si>
    <t>https://commons.wikimedia.org/w/index.php?search=Vietnam%20road%20sign%20W244&amp;title=Special:MediaSearch&amp;type=image</t>
  </si>
  <si>
    <t>W.245a</t>
  </si>
  <si>
    <t>W.245</t>
  </si>
  <si>
    <t>Đi chậm (a), Đi chậm có chỉ dẫn tiếng Anh (b)</t>
  </si>
  <si>
    <t>02_bien_nguy_hiem/W.245a.svg</t>
  </si>
  <si>
    <t>https://commons.wikimedia.org/wiki/File:Vietnam_road_sign_W245a.svg</t>
  </si>
  <si>
    <t>d12dfab9a5b9d489abad01c206753511ba5283b66d7669274862b1e04c6a4eb4</t>
  </si>
  <si>
    <t>499e7d2b2b160c0c</t>
  </si>
  <si>
    <t>https://commons.wikimedia.org/w/index.php?search=Vietnam%20road%20sign%20W245a&amp;title=Special:MediaSearch&amp;type=image</t>
  </si>
  <si>
    <t>W.245b</t>
  </si>
  <si>
    <t>02_bien_nguy_hiem/W.245b.svg</t>
  </si>
  <si>
    <t>https://commons.wikimedia.org/wiki/File:Vietnam_road_sign_W245b.svg</t>
  </si>
  <si>
    <t>eeaee0f14b834b70f5b6ef57154c2aca36ec73946484b75047d8b78ddd440c29</t>
  </si>
  <si>
    <t>1616230b3b0e160c</t>
  </si>
  <si>
    <t>https://commons.wikimedia.org/w/index.php?search=Vietnam%20road%20sign%20W245b&amp;title=Special:MediaSearch&amp;type=image</t>
  </si>
  <si>
    <t>W.246a</t>
  </si>
  <si>
    <t>W.246</t>
  </si>
  <si>
    <t>Chú ý chướng ngại vật - Vòng tránh ra hai bên</t>
  </si>
  <si>
    <t>02_bien_nguy_hiem/W.246a.svg</t>
  </si>
  <si>
    <t>https://commons.wikimedia.org/wiki/File:Vietnam_road_sign_W246a.svg</t>
  </si>
  <si>
    <t>50e592bf88ff7fdca04918d000b7a93f1b260d616db3dcef8946764967ee7de3</t>
  </si>
  <si>
    <t>33cc55170f160c0c</t>
  </si>
  <si>
    <t>https://commons.wikimedia.org/w/index.php?search=Vietnam%20road%20sign%20W246a&amp;title=Special:MediaSearch&amp;type=image</t>
  </si>
  <si>
    <t>W.246b</t>
  </si>
  <si>
    <t>Chú ý chướng ngại vật - Vòng tránh sang bên trái</t>
  </si>
  <si>
    <t>02_bien_nguy_hiem/W.246b.svg</t>
  </si>
  <si>
    <t>https://commons.wikimedia.org/wiki/File:Vietnam_road_sign_W246b.svg</t>
  </si>
  <si>
    <t>6026b56ee89b823e17fc8e44a91f2cb53dd40f76d0f3c16387f7c080d2915fd4</t>
  </si>
  <si>
    <t>13cc65272f160c0c</t>
  </si>
  <si>
    <t>https://commons.wikimedia.org/w/index.php?search=Vietnam%20road%20sign%20W246b&amp;title=Special:MediaSearch&amp;type=image</t>
  </si>
  <si>
    <t>W.246c</t>
  </si>
  <si>
    <t>Chú ý chướng ngại vật - Vòng tránh sang bên phải</t>
  </si>
  <si>
    <t>02_bien_nguy_hiem/W.246c.svg</t>
  </si>
  <si>
    <t>https://commons.wikimedia.org/wiki/File:Vietnam_road_sign_W246c.svg</t>
  </si>
  <si>
    <t>2de09d1db07060d22d1c289727be7c99fd8b85d2f22a5ba5a4d091ae6b47c744</t>
  </si>
  <si>
    <t>33cc591b0b160c0c</t>
  </si>
  <si>
    <t>https://commons.wikimedia.org/w/index.php?search=Vietnam%20road%20sign%20W246c&amp;title=Special:MediaSearch&amp;type=image</t>
  </si>
  <si>
    <t>W.247</t>
  </si>
  <si>
    <t>Chú ý xe đỗ</t>
  </si>
  <si>
    <t>02_bien_nguy_hiem/W.247.svg</t>
  </si>
  <si>
    <t>https://commons.wikimedia.org/wiki/File:Vietnam_road_sign_W247.svg</t>
  </si>
  <si>
    <t>42126599cfd233658f24de71846038cf5ad556682e6a2ab3003f07a62a082659</t>
  </si>
  <si>
    <t>03c4692b33160c0c</t>
  </si>
  <si>
    <t>https://commons.wikimedia.org/w/index.php?search=Vietnam%20road%20sign%20W247&amp;title=Special:MediaSearch&amp;type=image</t>
  </si>
  <si>
    <t>R.122</t>
  </si>
  <si>
    <t>Dừng lại</t>
  </si>
  <si>
    <t>03_bien_hieu_lenh/R.122.svg</t>
  </si>
  <si>
    <t>https://commons.wikimedia.org/wiki/File:Vietnam_road_sign_P122.svg</t>
  </si>
  <si>
    <t>e51fa3555206830c25e63b47968c070e84400a2d76dbd4b5b345c1acabf52c11</t>
  </si>
  <si>
    <t>R.301a</t>
  </si>
  <si>
    <t>R.301</t>
  </si>
  <si>
    <t>Các xe chỉ được đi thẳng</t>
  </si>
  <si>
    <t>03_bien_hieu_lenh/R.301a.svg</t>
  </si>
  <si>
    <t>https://commons.wikimedia.org/wiki/File:Vietnam_road_sign_R301a.svg</t>
  </si>
  <si>
    <t>1c563eb1386b7eb5b5e50a8409cde30580685be2c68d1227466d20b223e4f472</t>
  </si>
  <si>
    <t>173371333371330f</t>
  </si>
  <si>
    <t>https://commons.wikimedia.org/w/index.php?search=Vietnam%20road%20sign%20R301a&amp;title=Special:MediaSearch&amp;type=image</t>
  </si>
  <si>
    <t>R.301b</t>
  </si>
  <si>
    <t>Các xe chỉ được rẽ phải</t>
  </si>
  <si>
    <t>03_bien_hieu_lenh/R.301b.svg</t>
  </si>
  <si>
    <t>https://commons.wikimedia.org/wiki/File:Vietnam_road_sign_R301b.svg</t>
  </si>
  <si>
    <t>2a4ab2e8c1afabe739de06742a100caad03c1ff3792c5e71b28d435a450a60ab</t>
  </si>
  <si>
    <t>0f3345d1d145330f</t>
  </si>
  <si>
    <t>https://commons.wikimedia.org/w/index.php?search=Vietnam%20road%20sign%20R301b&amp;title=Special:MediaSearch&amp;type=image</t>
  </si>
  <si>
    <t>R.301c</t>
  </si>
  <si>
    <t>Các xe chỉ được rẽ trái</t>
  </si>
  <si>
    <t>03_bien_hieu_lenh/R.301c.svg</t>
  </si>
  <si>
    <t>https://commons.wikimedia.org/wiki/File:Vietnam_road_sign_R301c.svg</t>
  </si>
  <si>
    <t>7b27202ee0539b906ef13030681ee17d07a8a6b367b6e1cbe9c7e8780385b352</t>
  </si>
  <si>
    <t>0f3345444445330f</t>
  </si>
  <si>
    <t>https://commons.wikimedia.org/w/index.php?search=Vietnam%20road%20sign%20R301c&amp;title=Special:MediaSearch&amp;type=image</t>
  </si>
  <si>
    <t>R.301d</t>
  </si>
  <si>
    <t>03_bien_hieu_lenh/R.301d.svg</t>
  </si>
  <si>
    <t>https://commons.wikimedia.org/wiki/File:Vietnam_road_sign_R301d.svg</t>
  </si>
  <si>
    <t>5edda013d9271322ff63431ac633ab22c8879f424ae1c43a5e4572a27a97d434</t>
  </si>
  <si>
    <t>0f354544045d510f</t>
  </si>
  <si>
    <t>https://commons.wikimedia.org/w/index.php?search=Vietnam%20road%20sign%20R301d&amp;title=Special:MediaSearch&amp;type=image</t>
  </si>
  <si>
    <t>R.301e</t>
  </si>
  <si>
    <t>03_bien_hieu_lenh/R.301e.svg</t>
  </si>
  <si>
    <t>https://commons.wikimedia.org/wiki/File:Vietnam_road_sign_R301e.svg</t>
  </si>
  <si>
    <t>756ce857c889bbbbaf591f89ba91011c90dfa9ede48cc7d9f1655796fb6a6a19</t>
  </si>
  <si>
    <t>0f5351d1d745750f</t>
  </si>
  <si>
    <t>https://commons.wikimedia.org/w/index.php?search=Vietnam%20road%20sign%20R301e&amp;title=Special:MediaSearch&amp;type=image</t>
  </si>
  <si>
    <t>R.301f</t>
  </si>
  <si>
    <t>Các xe chỉ được đi thẳng và rẽ phải</t>
  </si>
  <si>
    <t>03_bien_hieu_lenh/R.301f.svg</t>
  </si>
  <si>
    <t>https://commons.wikimedia.org/wiki/File:Vietnam_road_sign_R301f.svg</t>
  </si>
  <si>
    <t>1f85bac7a34c60402ac1c56aae427c81e98a966674b3d7ffbddacfc5805ade9f</t>
  </si>
  <si>
    <t>0f3d4ddcdc4d3d0f</t>
  </si>
  <si>
    <t>https://commons.wikimedia.org/w/index.php?search=Vietnam%20road%20sign%20R301f&amp;title=Special:MediaSearch&amp;type=image</t>
  </si>
  <si>
    <t>R.301g</t>
  </si>
  <si>
    <t>Các xe chỉ được đi thẳng và rẽ trái</t>
  </si>
  <si>
    <t>03_bien_hieu_lenh/R.301g.svg</t>
  </si>
  <si>
    <t>https://commons.wikimedia.org/wiki/File:Vietnam_road_sign_R301g.svg</t>
  </si>
  <si>
    <t>6f73785566e2408b2603408bfc39e10bc50326b5876766d201549e67b204f39b</t>
  </si>
  <si>
    <t>0f434dc4c44d430f</t>
  </si>
  <si>
    <t>https://commons.wikimedia.org/w/index.php?search=Vietnam%20road%20sign%20R301g&amp;title=Special:MediaSearch&amp;type=image</t>
  </si>
  <si>
    <t>R.301h</t>
  </si>
  <si>
    <t>Các xe chỉ được rẽ trái và rẽ phải</t>
  </si>
  <si>
    <t>03_bien_hieu_lenh/R.301h.svg</t>
  </si>
  <si>
    <t>https://bbgt.io.vn/bien-bao/r301h-huong-di-phai-theo-re-trai-va-re-phai</t>
  </si>
  <si>
    <t>366b76928d50d1bc492596366e9585bfc28a7a3e888e58b7721dc166bb373554</t>
  </si>
  <si>
    <t>R.302a</t>
  </si>
  <si>
    <t>R.302</t>
  </si>
  <si>
    <t>Hướng phải đi vòng chướng ngại vật</t>
  </si>
  <si>
    <t>03_bien_hieu_lenh/R.302a.svg</t>
  </si>
  <si>
    <t>https://commons.wikimedia.org/wiki/File:Vietnam_road_sign_R302a.svg</t>
  </si>
  <si>
    <t>06cad0794cc13ba9132107860275b22b9ed924e7a477652855004911d353d076</t>
  </si>
  <si>
    <t>0f034d63394d370f</t>
  </si>
  <si>
    <t>https://commons.wikimedia.org/w/index.php?search=Vietnam%20road%20sign%20R302a&amp;title=Special:MediaSearch&amp;type=image</t>
  </si>
  <si>
    <t>R.302b</t>
  </si>
  <si>
    <t>03_bien_hieu_lenh/R.302b.svg</t>
  </si>
  <si>
    <t>https://commons.wikimedia.org/wiki/File:Vietnam_road_sign_R302b.svg</t>
  </si>
  <si>
    <t>e90c9f12edf87f752867df31f474c0de6f97d3737a15b185ecfb99cad9c1e845</t>
  </si>
  <si>
    <t>0f2f4d39634d130f</t>
  </si>
  <si>
    <t>https://commons.wikimedia.org/w/index.php?search=Vietnam%20road%20sign%20R302b&amp;title=Special:MediaSearch&amp;type=image</t>
  </si>
  <si>
    <t>R.302c</t>
  </si>
  <si>
    <t>03_bien_hieu_lenh/R.302c.svg</t>
  </si>
  <si>
    <t>https://commons.wikimedia.org/wiki/File:Vietnam_road_sign_R302c.svg</t>
  </si>
  <si>
    <t>8b1ea84faf5fbfdd5a1798c964b2c1e034efa7c1de2405b1274a0dd2a08b1be3</t>
  </si>
  <si>
    <t>0f33968c4d69330f</t>
  </si>
  <si>
    <t>https://commons.wikimedia.org/w/index.php?search=Vietnam%20road%20sign%20R302c&amp;title=Special:MediaSearch&amp;type=image</t>
  </si>
  <si>
    <t>R.303</t>
  </si>
  <si>
    <t>Nơi giao nhau chạy theo vòng xuyến</t>
  </si>
  <si>
    <t>03_bien_hieu_lenh/R.303.svg</t>
  </si>
  <si>
    <t>https://commons.wikimedia.org/wiki/File:Vietnam_road_sign_R303.svg</t>
  </si>
  <si>
    <t>42d3241ae0eb5ef9e10832f64e87f2681a2e3c627a454dc14db27598bfaa05b2</t>
  </si>
  <si>
    <t>0f694d96964d310f</t>
  </si>
  <si>
    <t>https://commons.wikimedia.org/w/index.php?search=Vietnam%20road%20sign%20R303&amp;title=Special:MediaSearch&amp;type=image</t>
  </si>
  <si>
    <t>R.304</t>
  </si>
  <si>
    <t>Đường dành cho xe thô sơ</t>
  </si>
  <si>
    <t>03_bien_hieu_lenh/R.304.svg</t>
  </si>
  <si>
    <t>https://commons.wikimedia.org/wiki/File:Vietnam_road_sign_R304.svg</t>
  </si>
  <si>
    <t>83d94bd006e94b7fb1b3b62ca536ff32208039eb24f9d4ff29cfdbe7a10bc10c</t>
  </si>
  <si>
    <t>074165744d612b0f</t>
  </si>
  <si>
    <t>https://commons.wikimedia.org/w/index.php?search=Vietnam%20road%20sign%20R304&amp;title=Special:MediaSearch&amp;type=image</t>
  </si>
  <si>
    <t>R.305</t>
  </si>
  <si>
    <t>Đường dành cho người đi bộ</t>
  </si>
  <si>
    <t>03_bien_hieu_lenh/R.305.svg</t>
  </si>
  <si>
    <t>https://commons.wikimedia.org/wiki/File:Vietnam_road_sign_R305.svg</t>
  </si>
  <si>
    <t>5f88942c502d0830b9f3320a2c3a36411a7e413604027908d3f43f96b18cc87f</t>
  </si>
  <si>
    <t>0f4b61757173130f</t>
  </si>
  <si>
    <t>https://commons.wikimedia.org/w/index.php?search=Vietnam%20road%20sign%20R305&amp;title=Special:MediaSearch&amp;type=image</t>
  </si>
  <si>
    <t>R.306</t>
  </si>
  <si>
    <t>Tốc độ tối thiểu cho phép</t>
  </si>
  <si>
    <t>03_bien_hieu_lenh/R.306.svg</t>
  </si>
  <si>
    <t>https://commons.wikimedia.org/wiki/File:Vietnam_road_sign_R306.svg</t>
  </si>
  <si>
    <t>e44c9f633af55caa505700f28664e27d787cc81b5bfbf545bada7372e9fac784</t>
  </si>
  <si>
    <t>0f694dd4cd496b0f</t>
  </si>
  <si>
    <t>https://commons.wikimedia.org/w/index.php?search=Vietnam%20road%20sign%20R306&amp;title=Special:MediaSearch&amp;type=image</t>
  </si>
  <si>
    <t>R.307</t>
  </si>
  <si>
    <t>Hết tốc độ tối thiểu</t>
  </si>
  <si>
    <t>03_bien_hieu_lenh/R.307.svg</t>
  </si>
  <si>
    <t>https://commons.wikimedia.org/wiki/File:Vietnam_road_sign_R307.svg</t>
  </si>
  <si>
    <t>edb35aa59a4f9d21a174680f28a5024b6eea9da5a2e17d8c9e2883d2c3c7ea57</t>
  </si>
  <si>
    <t>0f6b41c4cd692b0f</t>
  </si>
  <si>
    <t>https://commons.wikimedia.org/w/index.php?search=Vietnam%20road%20sign%20R307&amp;title=Special:MediaSearch&amp;type=image</t>
  </si>
  <si>
    <t>R.308a</t>
  </si>
  <si>
    <t>R.308</t>
  </si>
  <si>
    <t>Tuyến đường cầu vượt cắt qua</t>
  </si>
  <si>
    <t>03_bien_hieu_lenh/R.308a.svg</t>
  </si>
  <si>
    <t>https://commons.wikimedia.org/wiki/File:Vietnam_road_sign_R308a.svg</t>
  </si>
  <si>
    <t>71a9d6ee28fb9c6a240394425128216d98e1fcc108bb2ff9ad137ed7bdf1ca6a</t>
  </si>
  <si>
    <t>177754d3f371330f</t>
  </si>
  <si>
    <t>https://commons.wikimedia.org/w/index.php?search=Vietnam%20road%20sign%20R308a&amp;title=Special:MediaSearch&amp;type=image</t>
  </si>
  <si>
    <t>R.308b</t>
  </si>
  <si>
    <t>03_bien_hieu_lenh/R.308b.svg</t>
  </si>
  <si>
    <t>https://commons.wikimedia.org/wiki/File:Vietnam_road_sign_R308b.svg</t>
  </si>
  <si>
    <t>19fd026813c40052b87fcd452b73822eaaf15450b315b1c2cc0bda9299b8b114</t>
  </si>
  <si>
    <t>173371b0b431330f</t>
  </si>
  <si>
    <t>https://commons.wikimedia.org/w/index.php?search=Vietnam%20road%20sign%20R308b&amp;title=Special:MediaSearch&amp;type=image</t>
  </si>
  <si>
    <t>R.309</t>
  </si>
  <si>
    <t>Ấn còi</t>
  </si>
  <si>
    <t>03_bien_hieu_lenh/R.309.svg</t>
  </si>
  <si>
    <t>https://commons.wikimedia.org/wiki/File:Vietnam_road_sign_R309.svg</t>
  </si>
  <si>
    <t>d99b17bac26fb69d1b4796827a040ca7a5d5558c3e2b96fa505175996520a169</t>
  </si>
  <si>
    <t>0f3361486475330f</t>
  </si>
  <si>
    <t>https://commons.wikimedia.org/w/index.php?search=Vietnam%20road%20sign%20R309&amp;title=Special:MediaSearch&amp;type=image</t>
  </si>
  <si>
    <t>R.310a</t>
  </si>
  <si>
    <t>R.310</t>
  </si>
  <si>
    <t>Hướng đi phải theo cho các xe chở hàng nguy hiểm</t>
  </si>
  <si>
    <t>03_bien_hieu_lenh/R.310a.svg</t>
  </si>
  <si>
    <t>https://commons.wikimedia.org/wiki/File:Vietnam_road_sign_R310a.svg</t>
  </si>
  <si>
    <t>cab5bad2b43b824d5e8e6d7cee96cc9cf5661de001f6a2a17a09be8dcf659d07</t>
  </si>
  <si>
    <t>4d0e0f4d0f0f0f0f</t>
  </si>
  <si>
    <t>https://commons.wikimedia.org/w/index.php?search=Vietnam%20road%20sign%20R310a&amp;title=Special:MediaSearch&amp;type=image</t>
  </si>
  <si>
    <t>R.310b</t>
  </si>
  <si>
    <t>03_bien_hieu_lenh/R.310b.svg</t>
  </si>
  <si>
    <t>https://commons.wikimedia.org/wiki/File:Vietnam_road_sign_R310b.svg</t>
  </si>
  <si>
    <t>f89a0f6163251252623220fe9cc2621405c7e64bd4db862d50736277b2fa3e34</t>
  </si>
  <si>
    <t>4d160f4d0f0f0f0f</t>
  </si>
  <si>
    <t>https://commons.wikimedia.org/w/index.php?search=Vietnam%20road%20sign%20R310b&amp;title=Special:MediaSearch&amp;type=image</t>
  </si>
  <si>
    <t>R.310c</t>
  </si>
  <si>
    <t>03_bien_hieu_lenh/R.310c.svg</t>
  </si>
  <si>
    <t>https://commons.wikimedia.org/wiki/File:Vietnam_road_sign_R310c.svg</t>
  </si>
  <si>
    <t>fd8367e85b9bc453872097dbfb08c2e8f4c19f3d0f03b4e4e80c2493de4fe3fa</t>
  </si>
  <si>
    <t>https://commons.wikimedia.org/w/index.php?search=Vietnam%20road%20sign%20R310c&amp;title=Special:MediaSearch&amp;type=image</t>
  </si>
  <si>
    <t>R.403a</t>
  </si>
  <si>
    <t>R.403</t>
  </si>
  <si>
    <t>Đường dành cho xe ô tô</t>
  </si>
  <si>
    <t>03_bien_hieu_lenh/R.403a.svg</t>
  </si>
  <si>
    <t>https://commons.wikimedia.org/wiki/File:Vietnam_road_sign_R403a.svg</t>
  </si>
  <si>
    <t>43dc3c8d33f77adb4b36a1c48c8728efa59a88e979c0ff23e59898f07e01bc5d</t>
  </si>
  <si>
    <t>230f4d4d4d2b2323</t>
  </si>
  <si>
    <t>https://commons.wikimedia.org/w/index.php?search=Vietnam%20road%20sign%20R403a&amp;title=Special:MediaSearch&amp;type=image</t>
  </si>
  <si>
    <t>R.403b</t>
  </si>
  <si>
    <t>Đường dành cho xe ô tô, xe máy</t>
  </si>
  <si>
    <t>03_bien_hieu_lenh/R.403b.svg</t>
  </si>
  <si>
    <t>https://commons.wikimedia.org/wiki/File:Vietnam_road_sign_R403b.svg</t>
  </si>
  <si>
    <t>bbd989d9c12853fbf9a23c26c67462bba747bb08462dc1f3c69c960926bad041</t>
  </si>
  <si>
    <t>2b7323372b692b2b</t>
  </si>
  <si>
    <t>https://commons.wikimedia.org/w/index.php?search=Vietnam%20road%20sign%20R403b&amp;title=Special:MediaSearch&amp;type=image</t>
  </si>
  <si>
    <t>R.403c</t>
  </si>
  <si>
    <t>Đường dành cho xe buýt</t>
  </si>
  <si>
    <t>03_bien_hieu_lenh/R.403c.svg</t>
  </si>
  <si>
    <t>https://commons.wikimedia.org/wiki/File:Vietnam_road_sign_R403c.svg</t>
  </si>
  <si>
    <t>45861357378ae03d852befab226928b11100cc3b4f783c73895c393f47f08529</t>
  </si>
  <si>
    <t>2b6971172b2f2f27</t>
  </si>
  <si>
    <t>https://commons.wikimedia.org/w/index.php?search=Vietnam%20road%20sign%20R403c&amp;title=Special:MediaSearch&amp;type=image</t>
  </si>
  <si>
    <t>R.403d</t>
  </si>
  <si>
    <t>Đường dành cho xe ô tô con</t>
  </si>
  <si>
    <t>03_bien_hieu_lenh/R.403d.svg</t>
  </si>
  <si>
    <t>https://commons.wikimedia.org/wiki/File:Vietnam_road_sign_R403d.svg</t>
  </si>
  <si>
    <t>c68ed74bc96dfe477487a70e10ea45292e3dfa135be2fee7fe88931c721f2cd9</t>
  </si>
  <si>
    <t>23332f4d63332b23</t>
  </si>
  <si>
    <t>https://commons.wikimedia.org/w/index.php?search=Vietnam%20road%20sign%20R403d&amp;title=Special:MediaSearch&amp;type=image</t>
  </si>
  <si>
    <t>R.403e</t>
  </si>
  <si>
    <t>Đường dành cho xe máy</t>
  </si>
  <si>
    <t>03_bien_hieu_lenh/R.403e.svg</t>
  </si>
  <si>
    <t>https://commons.wikimedia.org/wiki/File:Vietnam_road_sign_R403e.svg</t>
  </si>
  <si>
    <t>27494b9cdc38df1b459c24bd3d1f07b81b52d9fba6c0fe0df755f2413969b667</t>
  </si>
  <si>
    <t>23332b7323332b23</t>
  </si>
  <si>
    <t>https://commons.wikimedia.org/w/index.php?search=Vietnam%20road%20sign%20R403e&amp;title=Special:MediaSearch&amp;type=image</t>
  </si>
  <si>
    <t>R.403f</t>
  </si>
  <si>
    <t>Đường dành cho xe máy và xe đạp</t>
  </si>
  <si>
    <t>03_bien_hieu_lenh/R.403f.svg</t>
  </si>
  <si>
    <t>https://commons.wikimedia.org/wiki/File:Vietnam_road_sign_R403f.svg</t>
  </si>
  <si>
    <t>0cd86ed9c5910f584fc8a19f3e1dac1902d5ef064431d57b7bfc8c705f138e2d</t>
  </si>
  <si>
    <t>2b232b3b2f732333</t>
  </si>
  <si>
    <t>https://commons.wikimedia.org/w/index.php?search=Vietnam%20road%20sign%20R403f&amp;title=Special:MediaSearch&amp;type=image</t>
  </si>
  <si>
    <t>R.403g</t>
  </si>
  <si>
    <t>Đường dành cho xe chở hàng bốn bánh gắn động cơ</t>
  </si>
  <si>
    <t>03_bien_hieu_lenh/R.403g.svg</t>
  </si>
  <si>
    <t>https://commons.wikimedia.org/wiki/File:Vietnam_road_sign_R403g.svg</t>
  </si>
  <si>
    <t>a536fbf52a24cef99edf8d617d143480e725a6a00e5fe4dcfe783e6aeaf23330</t>
  </si>
  <si>
    <t>23230f59393b2323</t>
  </si>
  <si>
    <t>https://commons.wikimedia.org/w/index.php?search=Vietnam%20road%20sign%20R403g&amp;title=Special:MediaSearch&amp;type=image</t>
  </si>
  <si>
    <t>R.403h</t>
  </si>
  <si>
    <t>Đường dành cho xe chở người bốn bánh gắn động cơ</t>
  </si>
  <si>
    <t>03_bien_hieu_lenh/R.403h.svg</t>
  </si>
  <si>
    <t>https://commons.wikimedia.org/wiki/File:Vietnam_road_sign_R403h.svg</t>
  </si>
  <si>
    <t>99ad79ab72de797c15515f017377fe0646205b0b5610b779261821894e9b459b</t>
  </si>
  <si>
    <t>23332b692b232323</t>
  </si>
  <si>
    <t>https://commons.wikimedia.org/w/index.php?search=Vietnam%20road%20sign%20R403h&amp;title=Special:MediaSearch&amp;type=image</t>
  </si>
  <si>
    <t>R.403k</t>
  </si>
  <si>
    <t>Đường dành cho xe chở hàng, xe chở người bốn bánh gắn động cơ</t>
  </si>
  <si>
    <t>03_bien_hieu_lenh/R.403k.svg</t>
  </si>
  <si>
    <t>https://commons.wikimedia.org/wiki/File:Vietnam_road_sign_R403k.svg</t>
  </si>
  <si>
    <t>055f49163a060e44e0bd79ad294bd05655053165db25943c2c4d1861ebec8c01</t>
  </si>
  <si>
    <t>0f593b3b2b692b23</t>
  </si>
  <si>
    <t>https://commons.wikimedia.org/w/index.php?search=Vietnam%20road%20sign%20R403k&amp;title=Special:MediaSearch&amp;type=image</t>
  </si>
  <si>
    <t>R.404a</t>
  </si>
  <si>
    <t>R.404</t>
  </si>
  <si>
    <t>Hết đoạn đường dành cho xe ô tô</t>
  </si>
  <si>
    <t>03_bien_hieu_lenh/R.404a.svg</t>
  </si>
  <si>
    <t>https://commons.wikimedia.org/wiki/File:Vietnam_road_sign_R404a.svg</t>
  </si>
  <si>
    <t>ced30b752679fdc961e41e2d24dd7ac0b95a896546bef449dbe5f5736f44b3fb</t>
  </si>
  <si>
    <t>230f4d49452b2303</t>
  </si>
  <si>
    <t>https://commons.wikimedia.org/w/index.php?search=Vietnam%20road%20sign%20R404a&amp;title=Special:MediaSearch&amp;type=image</t>
  </si>
  <si>
    <t>R.404b</t>
  </si>
  <si>
    <t>Hết đoạn đường dành cho xe ô tô, xe máy</t>
  </si>
  <si>
    <t>03_bien_hieu_lenh/R.404b.svg</t>
  </si>
  <si>
    <t>https://commons.wikimedia.org/wiki/File:Vietnam_road_sign_R404b.svg</t>
  </si>
  <si>
    <t>087b26c6b992d109ca1cefc813221bbdbd3ae41fc70a5206e26eb2da42664e5f</t>
  </si>
  <si>
    <t>2f7123332b692b2b</t>
  </si>
  <si>
    <t>https://commons.wikimedia.org/w/index.php?search=Vietnam%20road%20sign%20R404b&amp;title=Special:MediaSearch&amp;type=image</t>
  </si>
  <si>
    <t>R.404c</t>
  </si>
  <si>
    <t>Hết đoạn đường dành cho xe buýt</t>
  </si>
  <si>
    <t>03_bien_hieu_lenh/R.404c.svg</t>
  </si>
  <si>
    <t>https://commons.wikimedia.org/wiki/File:Vietnam_road_sign_R404c.svg</t>
  </si>
  <si>
    <t>df3f9e81f1a102fe40e0c5abce5cd770d298291faaf448d15901bffb6bf92538</t>
  </si>
  <si>
    <t>2b6971172b2f0f37</t>
  </si>
  <si>
    <t>https://commons.wikimedia.org/w/index.php?search=Vietnam%20road%20sign%20R404c&amp;title=Special:MediaSearch&amp;type=image</t>
  </si>
  <si>
    <t>R.404d</t>
  </si>
  <si>
    <t>Hết đoạn đường dành cho xe ô tô con</t>
  </si>
  <si>
    <t>03_bien_hieu_lenh/R.404d.svg</t>
  </si>
  <si>
    <t>https://commons.wikimedia.org/wiki/File:Vietnam_road_sign_R404d.svg</t>
  </si>
  <si>
    <t>fdb52231e8e578231b4b922a6e8c154707db76fb2f8f959bceedec5190e3f740</t>
  </si>
  <si>
    <t>233f2f4d63230b33</t>
  </si>
  <si>
    <t>https://commons.wikimedia.org/w/index.php?search=Vietnam%20road%20sign%20R404d&amp;title=Special:MediaSearch&amp;type=image</t>
  </si>
  <si>
    <t>R.404e</t>
  </si>
  <si>
    <t>Hết đoạn đường dành cho xe máy</t>
  </si>
  <si>
    <t>03_bien_hieu_lenh/R.404e.svg</t>
  </si>
  <si>
    <t>https://commons.wikimedia.org/wiki/File:Vietnam_road_sign_R404e.svg</t>
  </si>
  <si>
    <t>7e6024852e6206b53bf86be49d462b1b82bd85ebccb822f2021e1df0dc1d2819</t>
  </si>
  <si>
    <t>23372b7323230b33</t>
  </si>
  <si>
    <t>https://commons.wikimedia.org/w/index.php?search=Vietnam%20road%20sign%20R404e&amp;title=Special:MediaSearch&amp;type=image</t>
  </si>
  <si>
    <t>R.404f</t>
  </si>
  <si>
    <t>Hết đoạn đường dành cho xe máy và xe đạp</t>
  </si>
  <si>
    <t>03_bien_hieu_lenh/R.404f.svg</t>
  </si>
  <si>
    <t>https://commons.wikimedia.org/wiki/File:Vietnam_road_sign_R404f.svg</t>
  </si>
  <si>
    <t>2d8049c1fb3f8045c961546641fdfd4a5a91761255f13dc714dbef7a551368b1</t>
  </si>
  <si>
    <t>2b272b332f632333</t>
  </si>
  <si>
    <t>https://commons.wikimedia.org/w/index.php?search=Vietnam%20road%20sign%20R404f&amp;title=Special:MediaSearch&amp;type=image</t>
  </si>
  <si>
    <t>R.404g</t>
  </si>
  <si>
    <t>Hết đoạn đường dành cho xe chở hàng bốn bánh gắn động cơ</t>
  </si>
  <si>
    <t>03_bien_hieu_lenh/R.404g.svg</t>
  </si>
  <si>
    <t>https://commons.wikimedia.org/wiki/File:Vietnam_road_sign_R404g.svg</t>
  </si>
  <si>
    <t>f1f9f4c7a26d95c04599562ec84d8807a9938b1d9f48029976907226c86d4075</t>
  </si>
  <si>
    <t>232f0f59393b0333</t>
  </si>
  <si>
    <t>https://commons.wikimedia.org/w/index.php?search=Vietnam%20road%20sign%20R404g&amp;title=Special:MediaSearch&amp;type=image</t>
  </si>
  <si>
    <t>R.404h</t>
  </si>
  <si>
    <t>Hết đoạn đường dành cho xe chở người bốn bánh gắn động cơ</t>
  </si>
  <si>
    <t>03_bien_hieu_lenh/R.404h.svg</t>
  </si>
  <si>
    <t>https://commons.wikimedia.org/wiki/File:Vietnam_road_sign_R404h.svg</t>
  </si>
  <si>
    <t>1a82e35181f366377689889e36c2181b6eb38ee0f8a145da264749a1129fe37b</t>
  </si>
  <si>
    <t>23372b692b230b33</t>
  </si>
  <si>
    <t>https://commons.wikimedia.org/w/index.php?search=Vietnam%20road%20sign%20R404h&amp;title=Special:MediaSearch&amp;type=image</t>
  </si>
  <si>
    <t>R.404k</t>
  </si>
  <si>
    <t>Hết đoạn đường dành cho xe chở hàng, xe chở người bốn bánh gắn động cơ</t>
  </si>
  <si>
    <t>03_bien_hieu_lenh/R.404k.svg</t>
  </si>
  <si>
    <t>https://commons.wikimedia.org/wiki/File:Vietnam_road_sign_R404k.svg</t>
  </si>
  <si>
    <t>b5efb9631a56cb44bb561af358a599ec2f7bf1f0ec3ea3451934c8c46626b065</t>
  </si>
  <si>
    <t>0f59393b2f692b23</t>
  </si>
  <si>
    <t>https://commons.wikimedia.org/w/index.php?search=Vietnam%20road%20sign%20R404k&amp;title=Special:MediaSearch&amp;type=image</t>
  </si>
  <si>
    <t>R.411</t>
  </si>
  <si>
    <t>Hướng đi trên mỗi làn đường phải theo</t>
  </si>
  <si>
    <t>03_bien_hieu_lenh/R.411.svg</t>
  </si>
  <si>
    <t>https://commons.wikimedia.org/wiki/File:Vietnam_road_sign_R411.svg</t>
  </si>
  <si>
    <t>4b7f5df00d90b53fd5b3cbbd87471ab50bbdb2b8e58dc5261295bce56ac12a07</t>
  </si>
  <si>
    <t>0069d4d6d4956900</t>
  </si>
  <si>
    <t>Mã này có phụ lục bị nhầm lẫn là R.413 từ file gốc của quy chuẩn, nhưng vẫn dùng R.412</t>
  </si>
  <si>
    <t>https://commons.wikimedia.org/w/index.php?search=Vietnam%20road%20sign%20R411&amp;title=Special:MediaSearch&amp;type=image</t>
  </si>
  <si>
    <t>R.412a</t>
  </si>
  <si>
    <t>R.412</t>
  </si>
  <si>
    <t>Làn đường dành cho xe ô tô khách</t>
  </si>
  <si>
    <t>03_bien_hieu_lenh/R.412a.svg</t>
  </si>
  <si>
    <t>https://commons.wikimedia.org/wiki/File:Vietnam_road_sign_R412a.svg</t>
  </si>
  <si>
    <t>f2b558c856dba165c4fe94440bded824d25e890a97eca8c0ccd9d74105c0e14e</t>
  </si>
  <si>
    <t>332f696933333323</t>
  </si>
  <si>
    <t>User confirmed 2026-10-18: source R.413 designation is a misprint; correct family R.412.</t>
  </si>
  <si>
    <t>https://commons.wikimedia.org/w/index.php?search=Vietnam%20road%20sign%20R412a&amp;title=Special:MediaSearch&amp;type=image</t>
  </si>
  <si>
    <t>R.412b</t>
  </si>
  <si>
    <t>Làn đường dành cho xe ô tô con</t>
  </si>
  <si>
    <t>03_bien_hieu_lenh/R.412b.svg</t>
  </si>
  <si>
    <t>https://commons.wikimedia.org/wiki/File:Vietnam_road_sign_R412b.svg</t>
  </si>
  <si>
    <t>cbccd8976b1472fd7f0dc17b36273ff1f22078d57b744c15859775db81215c5f</t>
  </si>
  <si>
    <t>332d492333333323</t>
  </si>
  <si>
    <t>https://commons.wikimedia.org/w/index.php?search=Vietnam%20road%20sign%20R412b&amp;title=Special:MediaSearch&amp;type=image</t>
  </si>
  <si>
    <t>R.412c</t>
  </si>
  <si>
    <t>Làn đường dành cho xe ô tô tải</t>
  </si>
  <si>
    <t>03_bien_hieu_lenh/R.412c.svg</t>
  </si>
  <si>
    <t>https://commons.wikimedia.org/wiki/File:Vietnam_road_sign_R412c.svg</t>
  </si>
  <si>
    <t>f6f40fb34c42e02cc681a0318e9aa3cbb19d1ba9788c474454751cb3352a8b29</t>
  </si>
  <si>
    <t>2b4d416333333323</t>
  </si>
  <si>
    <t>https://commons.wikimedia.org/w/index.php?search=Vietnam%20road%20sign%20R412c&amp;title=Special:MediaSearch&amp;type=image</t>
  </si>
  <si>
    <t>R.412d</t>
  </si>
  <si>
    <t>Làn đường dành cho xe máy</t>
  </si>
  <si>
    <t>03_bien_hieu_lenh/R.412d.svg</t>
  </si>
  <si>
    <t>https://commons.wikimedia.org/wiki/File:Vietnam_road_sign_R412d.svg</t>
  </si>
  <si>
    <t>179d0e721912114c5dee6ac21ba9dc8fcf6a18b4a748a3673eb2e4fe33876f6e</t>
  </si>
  <si>
    <t>332b732333333323</t>
  </si>
  <si>
    <t>https://commons.wikimedia.org/w/index.php?search=Vietnam%20road%20sign%20R412d&amp;title=Special:MediaSearch&amp;type=image</t>
  </si>
  <si>
    <t>R.412e</t>
  </si>
  <si>
    <t>Làn đường dành cho xe buýt</t>
  </si>
  <si>
    <t>03_bien_hieu_lenh/R.412e.svg</t>
  </si>
  <si>
    <t>https://commons.wikimedia.org/wiki/File:Vietnam_road_sign_R412e.svg</t>
  </si>
  <si>
    <t>30c33cb3f397fb0b26f32c856f96afa04038a03264ee988c8047e8d3d6f8cb7d</t>
  </si>
  <si>
    <t>2b6971172b373737</t>
  </si>
  <si>
    <t>https://commons.wikimedia.org/w/index.php?search=Vietnam%20road%20sign%20R412e&amp;title=Special:MediaSearch&amp;type=image</t>
  </si>
  <si>
    <t>R.412f</t>
  </si>
  <si>
    <t>Làn đường dành cho xe ô tô</t>
  </si>
  <si>
    <t>03_bien_hieu_lenh/R.412f.svg</t>
  </si>
  <si>
    <t>https://commons.wikimedia.org/wiki/File:Vietnam_road_sign_R412f.svg</t>
  </si>
  <si>
    <t>398e07337fe731121115793f99be3a2c10dca81f8e098f60bf8effb682191516</t>
  </si>
  <si>
    <t>2b692b2b33333323</t>
  </si>
  <si>
    <t>https://commons.wikimedia.org/w/index.php?search=Vietnam%20road%20sign%20R412f&amp;title=Special:MediaSearch&amp;type=image</t>
  </si>
  <si>
    <t>R.412g</t>
  </si>
  <si>
    <t>Làn đường dành cho xe máy và xe đạp</t>
  </si>
  <si>
    <t>03_bien_hieu_lenh/R.412g.svg</t>
  </si>
  <si>
    <t>https://commons.wikimedia.org/wiki/File:Vietnam_road_sign_R412g.svg</t>
  </si>
  <si>
    <t>c34f5dc8afc0f8f42d8d8881719abcc57060a3019430f1d22f63974c9880b7d8</t>
  </si>
  <si>
    <t>231b092b33333323</t>
  </si>
  <si>
    <t>https://commons.wikimedia.org/w/index.php?search=Vietnam%20road%20sign%20R412g&amp;title=Special:MediaSearch&amp;type=image</t>
  </si>
  <si>
    <t>R.412h</t>
  </si>
  <si>
    <t>Làn đường dành cho xe đạp</t>
  </si>
  <si>
    <t>03_bien_hieu_lenh/R.412h.svg</t>
  </si>
  <si>
    <t>https://commons.wikimedia.org/wiki/File:Vietnam_road_sign_R412h.svg</t>
  </si>
  <si>
    <t>8f9c9bd99b85731369d935ca3afa1582c9dd9a87c8d873ccb68e478129516ed1</t>
  </si>
  <si>
    <t>2b2b333b33333323</t>
  </si>
  <si>
    <t>https://commons.wikimedia.org/w/index.php?search=Vietnam%20road%20sign%20R412h&amp;title=Special:MediaSearch&amp;type=image</t>
  </si>
  <si>
    <t>R.412i</t>
  </si>
  <si>
    <t>Kết thúc làn đường dành cho xe ô tô khách</t>
  </si>
  <si>
    <t>03_bien_hieu_lenh/R.412i.svg</t>
  </si>
  <si>
    <t>https://commons.wikimedia.org/wiki/File:Vietnam_road_sign_R412i.svg</t>
  </si>
  <si>
    <t>9539336c4c5d3190c24654a5ccae908c332e7fa3e04f9c27f02b4d2f0ae7eedd</t>
  </si>
  <si>
    <t>332f697133333323</t>
  </si>
  <si>
    <t>https://commons.wikimedia.org/w/index.php?search=Vietnam%20road%20sign%20R412i&amp;title=Special:MediaSearch&amp;type=image</t>
  </si>
  <si>
    <t>R.412j</t>
  </si>
  <si>
    <t>Kết thúc làn đường dành cho xe ô tô con</t>
  </si>
  <si>
    <t>03_bien_hieu_lenh/R.412j.svg</t>
  </si>
  <si>
    <t>https://commons.wikimedia.org/wiki/File:Vietnam_road_sign_R412j.svg</t>
  </si>
  <si>
    <t>882107af6c41e014b5fe58277e2180a77c177300177ebdb442c4e03b91d9d0fd</t>
  </si>
  <si>
    <t>332d493333333323</t>
  </si>
  <si>
    <t>https://commons.wikimedia.org/w/index.php?search=Vietnam%20road%20sign%20R412j&amp;title=Special:MediaSearch&amp;type=image</t>
  </si>
  <si>
    <t>R.412k</t>
  </si>
  <si>
    <t>Kết thúc làn đường dành cho xe ô tô tải</t>
  </si>
  <si>
    <t>03_bien_hieu_lenh/R.412k.svg</t>
  </si>
  <si>
    <t>https://commons.wikimedia.org/wiki/File:Vietnam_road_sign_R412k.svg</t>
  </si>
  <si>
    <t>d7110c7ec74e502d14c6d75ee1014f4884450ace3204caaed949a8c30fd6ba31</t>
  </si>
  <si>
    <t>2f4d417333333323</t>
  </si>
  <si>
    <t>https://commons.wikimedia.org/w/index.php?search=Vietnam%20road%20sign%20R412k&amp;title=Special:MediaSearch&amp;type=image</t>
  </si>
  <si>
    <t>R.412l</t>
  </si>
  <si>
    <t>Kết thúc làn đường dành cho xe máy</t>
  </si>
  <si>
    <t>03_bien_hieu_lenh/R.412l.svg</t>
  </si>
  <si>
    <t>https://commons.wikimedia.org/wiki/File:Vietnam_road_sign_R412l.svg</t>
  </si>
  <si>
    <t>b01049f8a62e7c2ca0d9ebf1d0ab6147228b9c8d05341142f8c003c69eeb7bec</t>
  </si>
  <si>
    <t>Đã kiểm tra và cập nhật đường dẫn/SHA-256 từ dataset_signs.zip. | User confirmed 2026-10-18: source R.413 designation is a misprint; correct family R.412.</t>
  </si>
  <si>
    <t>R.412m</t>
  </si>
  <si>
    <t>Kết thúc làn đường dành cho xe buýt</t>
  </si>
  <si>
    <t>03_bien_hieu_lenh/R.412m.svg</t>
  </si>
  <si>
    <t>https://commons.wikimedia.org/wiki/File:Vietnam_road_sign_R412m.svg</t>
  </si>
  <si>
    <t>a2997e9ef99efadc1358aece3b546193ab0bf675b499edae3a482238be1e5d6a</t>
  </si>
  <si>
    <t>https://commons.wikimedia.org/w/index.php?search=Vietnam%20road%20sign%20R412m&amp;title=Special:MediaSearch&amp;type=image</t>
  </si>
  <si>
    <t>R.412n</t>
  </si>
  <si>
    <t>Kết thúc làn đường dành cho xe ô tô</t>
  </si>
  <si>
    <t>03_bien_hieu_lenh/R.412n.svg</t>
  </si>
  <si>
    <t>https://commons.wikimedia.org/wiki/File:Vietnam_road_sign_R412n.svg</t>
  </si>
  <si>
    <t>1819e398f1b65e089a721a4c929a575c88a5f03e37ba16366da10afe6efabe2a</t>
  </si>
  <si>
    <t>2f692b2b33333323</t>
  </si>
  <si>
    <t>https://commons.wikimedia.org/w/index.php?search=Vietnam%20road%20sign%20R412n&amp;title=Special:MediaSearch&amp;type=image</t>
  </si>
  <si>
    <t>R.412o</t>
  </si>
  <si>
    <t>Kết thúc làn đường dành cho xe máy và xe đạp</t>
  </si>
  <si>
    <t>03_bien_hieu_lenh/R.412o.svg</t>
  </si>
  <si>
    <t>https://commons.wikimedia.org/wiki/File:Vietnam_road_sign_R412o.svg</t>
  </si>
  <si>
    <t>bd7630a65446c683bb7e01bff732f286efdcc3b8081b32ba97a93979dcb993c1</t>
  </si>
  <si>
    <t>231b093b33333323</t>
  </si>
  <si>
    <t>https://commons.wikimedia.org/w/index.php?search=Vietnam%20road%20sign%20R412o&amp;title=Special:MediaSearch&amp;type=image</t>
  </si>
  <si>
    <t>R.412p</t>
  </si>
  <si>
    <t>Kết thúc làn đường dành cho xe đạp</t>
  </si>
  <si>
    <t>03_bien_hieu_lenh/R.412p.svg</t>
  </si>
  <si>
    <t>https://commons.wikimedia.org/wiki/File:Vietnam_road_sign_R412p.svg</t>
  </si>
  <si>
    <t>b330e6c62484f3996bd85ce769dc735f092c1106554dc2677991f98bb9f8e1cd</t>
  </si>
  <si>
    <t>232f333b33333323</t>
  </si>
  <si>
    <t>https://commons.wikimedia.org/w/index.php?search=Vietnam%20road%20sign%20R412p&amp;title=Special:MediaSearch&amp;type=image</t>
  </si>
  <si>
    <t>R.415a</t>
  </si>
  <si>
    <t>R.415</t>
  </si>
  <si>
    <t>Biển gộp làn đường theo phương tiện</t>
  </si>
  <si>
    <t>03_bien_hieu_lenh/R.415a.svg</t>
  </si>
  <si>
    <t>https://commons.wikimedia.org/wiki/File:Vietnam_road_sign_R415a.svg</t>
  </si>
  <si>
    <t>b84408309a80c6cd429ac9f41e9ee3af7ab4da90f60f3daf3de7573fd8184403</t>
  </si>
  <si>
    <t>0049b195aab16100</t>
  </si>
  <si>
    <t>https://commons.wikimedia.org/w/index.php?search=Vietnam%20road%20sign%20R415a&amp;title=Special:MediaSearch&amp;type=image</t>
  </si>
  <si>
    <t>R.415b</t>
  </si>
  <si>
    <t>Kết thúc làn đường theo phương tiện</t>
  </si>
  <si>
    <t>03_bien_hieu_lenh/R.415b.svg</t>
  </si>
  <si>
    <t>https://commons.wikimedia.org/wiki/File:Vietnam_road_sign_R415b.svg</t>
  </si>
  <si>
    <t>728925c1fe03a992cdc7262473177cbcbde4e9e5c687c387ecc0bb62cda823c3</t>
  </si>
  <si>
    <t>0049b195bab16100</t>
  </si>
  <si>
    <t>https://commons.wikimedia.org/w/index.php?search=Vietnam%20road%20sign%20R415b&amp;title=Special:MediaSearch&amp;type=image</t>
  </si>
  <si>
    <t>R.420</t>
  </si>
  <si>
    <t>Bắt đầu khu đông dân cư</t>
  </si>
  <si>
    <t>03_bien_hieu_lenh/R.420.svg</t>
  </si>
  <si>
    <t>https://commons.wikimedia.org/wiki/File:Vietnam_road_sign_R420.svg</t>
  </si>
  <si>
    <t>989bd519ebe5497695215079b7048508bafdc52262a1f2dcfaac7848e80016c6</t>
  </si>
  <si>
    <t>31518aaced6d6513</t>
  </si>
  <si>
    <t>https://commons.wikimedia.org/w/index.php?search=Vietnam%20road%20sign%20R420&amp;title=Special:MediaSearch&amp;type=image</t>
  </si>
  <si>
    <t>R.421</t>
  </si>
  <si>
    <t>Hết khu đông dân cư</t>
  </si>
  <si>
    <t>03_bien_hieu_lenh/R.421.svg</t>
  </si>
  <si>
    <t>https://commons.wikimedia.org/wiki/File:Vietnam_road_sign_R421.svg</t>
  </si>
  <si>
    <t>d4b1cccb9bfda2811713598bb4beadf419c668d70a2b9a2936e05d54f06ec3e3</t>
  </si>
  <si>
    <t>215b82aced6d2d13</t>
  </si>
  <si>
    <t>https://commons.wikimedia.org/w/index.php?search=Vietnam%20road%20sign%20R421&amp;title=Special:MediaSearch&amp;type=image</t>
  </si>
  <si>
    <t>I.401</t>
  </si>
  <si>
    <t>Bắt đầu đường ưu tiên</t>
  </si>
  <si>
    <t>04_bien_chi_dan/I.401.svg</t>
  </si>
  <si>
    <t>https://commons.wikimedia.org/wiki/File:Vietnam_road_sign_I401.svg</t>
  </si>
  <si>
    <t>7f01cf610105f55bb12f6af3dc24004443505aae4af42a7251cffcb6e99ced94</t>
  </si>
  <si>
    <t>0c164db2b24d160c</t>
  </si>
  <si>
    <t>https://commons.wikimedia.org/w/index.php?search=Vietnam%20road%20sign%20I401&amp;title=Special:MediaSearch&amp;type=image</t>
  </si>
  <si>
    <t>I.402</t>
  </si>
  <si>
    <t>Hết đoạn đường ưu tiên</t>
  </si>
  <si>
    <t>04_bien_chi_dan/I.402.svg</t>
  </si>
  <si>
    <t>https://commons.wikimedia.org/wiki/File:Vietnam_road_sign_I402.svg</t>
  </si>
  <si>
    <t>84af874b0951db741d34fb0006bc66f834dc9deca57da6d2057ab350b75b737b</t>
  </si>
  <si>
    <t>0c1243869e3d360c</t>
  </si>
  <si>
    <t>https://commons.wikimedia.org/w/index.php?search=Vietnam%20road%20sign%20I402&amp;title=Special:MediaSearch&amp;type=image</t>
  </si>
  <si>
    <t>I.405a</t>
  </si>
  <si>
    <t>I.405</t>
  </si>
  <si>
    <t>Đường cụt</t>
  </si>
  <si>
    <t>04_bien_chi_dan/I.405a.svg</t>
  </si>
  <si>
    <t>https://commons.wikimedia.org/wiki/File:Vietnam_road_sign_I405a.svg</t>
  </si>
  <si>
    <t>c26700221fa63d6a60810a78b456d9eec5bdb71bfbcdd1e4ad0d80ea21706934</t>
  </si>
  <si>
    <t>2d2d0d39390d2d2d</t>
  </si>
  <si>
    <t>https://commons.wikimedia.org/w/index.php?search=Vietnam%20road%20sign%20I405a&amp;title=Special:MediaSearch&amp;type=image</t>
  </si>
  <si>
    <t>I.405b</t>
  </si>
  <si>
    <t>04_bien_chi_dan/I.405b.svg</t>
  </si>
  <si>
    <t>https://commons.wikimedia.org/wiki/File:Vietnam_road_sign_I405b.svg</t>
  </si>
  <si>
    <t>8aafcfa316ca41a537d07611e11d0f42aa96c56380bd0a5fb8d7c10f5463f781</t>
  </si>
  <si>
    <t>4b4b4f43434f4b4b</t>
  </si>
  <si>
    <t>https://commons.wikimedia.org/w/index.php?search=Vietnam%20road%20sign%20I405b&amp;title=Special:MediaSearch&amp;type=image</t>
  </si>
  <si>
    <t>I.405c</t>
  </si>
  <si>
    <t>04_bien_chi_dan/I.405c.svg</t>
  </si>
  <si>
    <t>https://commons.wikimedia.org/wiki/File:Vietnam_road_sign_I405c.svg</t>
  </si>
  <si>
    <t>f239714326a62c346106401b6642657f043f08509bc8d4ad3a90937ee24e405b</t>
  </si>
  <si>
    <t>33333333714d4141</t>
  </si>
  <si>
    <t>https://commons.wikimedia.org/w/index.php?search=Vietnam%20road%20sign%20I405c&amp;title=Special:MediaSearch&amp;type=image</t>
  </si>
  <si>
    <t>I.406</t>
  </si>
  <si>
    <t>Được ưu tiên qua đường hẹp</t>
  </si>
  <si>
    <t>04_bien_chi_dan/I.406.svg</t>
  </si>
  <si>
    <t>https://commons.wikimedia.org/wiki/File:Vietnam_road_sign_I406.svg</t>
  </si>
  <si>
    <t>188a18053a9954f653f5b0ac5d80f29e2b4a76a5b4460c12a63546e660b70734</t>
  </si>
  <si>
    <t>11494d4d4d4d4911</t>
  </si>
  <si>
    <t>https://commons.wikimedia.org/w/index.php?search=Vietnam%20road%20sign%20I406&amp;title=Special:MediaSearch&amp;type=image</t>
  </si>
  <si>
    <t>I.407a</t>
  </si>
  <si>
    <t>I.407</t>
  </si>
  <si>
    <t>Đường một chiều</t>
  </si>
  <si>
    <t>04_bien_chi_dan/I.407a.svg</t>
  </si>
  <si>
    <t>https://commons.wikimedia.org/wiki/File:Vietnam_road_sign_I407a.svg</t>
  </si>
  <si>
    <t>c4d53e0d89de172bdd20b946c25d6b4719472e38ec2a6b0826d05c9da21a1396</t>
  </si>
  <si>
    <t>3333337171713355</t>
  </si>
  <si>
    <t>https://commons.wikimedia.org/w/index.php?search=Vietnam%20road%20sign%20I407a&amp;title=Special:MediaSearch&amp;type=image</t>
  </si>
  <si>
    <t>I.407b</t>
  </si>
  <si>
    <t>04_bien_chi_dan/I.407b.svg</t>
  </si>
  <si>
    <t>https://commons.wikimedia.org/wiki/File:Vietnam_road_sign_I.407b_(QCVN_41-2019-BGTVT).svg</t>
  </si>
  <si>
    <t>f97236a1db664f222ef5086c2236044b840b95c6753203d71e61c17b524c9b76</t>
  </si>
  <si>
    <t>000041a0a0410000</t>
  </si>
  <si>
    <t>https://commons.wikimedia.org/w/index.php?search=Vietnam%20road%20sign%20I407b&amp;title=Special:MediaSearch&amp;type=image</t>
  </si>
  <si>
    <t>I.407c</t>
  </si>
  <si>
    <t>04_bien_chi_dan/I.407c.svg</t>
  </si>
  <si>
    <t>https://commons.wikimedia.org/wiki/File:Vietnam_road_sign_I.407c_(QCVN_41-2019-BGTVT).svg</t>
  </si>
  <si>
    <t>946638c2b8c355d64e91e36b59aba38f3f3cbb5aeb30522f3e569dbfce4bb09b</t>
  </si>
  <si>
    <t>000005c2c2410000</t>
  </si>
  <si>
    <t>https://commons.wikimedia.org/w/index.php?search=Vietnam%20road%20sign%20I407c&amp;title=Special:MediaSearch&amp;type=image</t>
  </si>
  <si>
    <t>I.408</t>
  </si>
  <si>
    <t>Nơi đỗ xe</t>
  </si>
  <si>
    <t>04_bien_chi_dan/I.408.svg</t>
  </si>
  <si>
    <t>https://commons.wikimedia.org/wiki/File:Vietnam_road_sign_I408.svg</t>
  </si>
  <si>
    <t>4534a5b8c114c5c89e674fe7259d9da65e892ebdbfdeabe579c762375e87816d</t>
  </si>
  <si>
    <t>4549597969693145</t>
  </si>
  <si>
    <t>https://commons.wikimedia.org/w/index.php?search=Vietnam%20road%20sign%20I408&amp;title=Special:MediaSearch&amp;type=image</t>
  </si>
  <si>
    <t>I.408a</t>
  </si>
  <si>
    <t>Nơi đỗ xe một phần trên hè phố</t>
  </si>
  <si>
    <t>04_bien_chi_dan/I.408a.svg</t>
  </si>
  <si>
    <t>https://commons.wikimedia.org/wiki/File:Vietnam_road_sign_I408a.svg</t>
  </si>
  <si>
    <t>4c4e2ec027f46c6826c6297301c66dc725b49702f15cd2580d945cddaa3b87f8</t>
  </si>
  <si>
    <t>91d1d54939696971</t>
  </si>
  <si>
    <t>https://commons.wikimedia.org/w/index.php?search=Vietnam%20road%20sign%20I408a&amp;title=Special:MediaSearch&amp;type=image</t>
  </si>
  <si>
    <t>I.409</t>
  </si>
  <si>
    <t>Chỗ quay xe</t>
  </si>
  <si>
    <t>04_bien_chi_dan/I.409.svg</t>
  </si>
  <si>
    <t>https://commons.wikimedia.org/wiki/File:Vietnam_road_sign_I409.svg</t>
  </si>
  <si>
    <t>bc6a3a08b5aba6fd4939a2cac51beda7926a8e1f37860da4aa8814e3ef14d94c</t>
  </si>
  <si>
    <t>514149494d697145</t>
  </si>
  <si>
    <t>https://commons.wikimedia.org/w/index.php?search=Vietnam%20road%20sign%20I409&amp;title=Special:MediaSearch&amp;type=image</t>
  </si>
  <si>
    <t>I.410</t>
  </si>
  <si>
    <t>Khu vực quay xe</t>
  </si>
  <si>
    <t>04_bien_chi_dan/I.410.svg</t>
  </si>
  <si>
    <t>https://commons.wikimedia.org/wiki/File:Vietnam_road_sign_I410.svg</t>
  </si>
  <si>
    <t>8cf2c529dfb11661af30fe915edce348c63a387fe387757646e1544046d9c13e</t>
  </si>
  <si>
    <t>49454d49434d6933</t>
  </si>
  <si>
    <t>https://commons.wikimedia.org/w/index.php?search=Vietnam%20road%20sign%20I410&amp;title=Special:MediaSearch&amp;type=image</t>
  </si>
  <si>
    <t>I.413a</t>
  </si>
  <si>
    <t>I.413</t>
  </si>
  <si>
    <t>Đường phía trước có làn đường dành cho ô tô khách</t>
  </si>
  <si>
    <t>04_bien_chi_dan/I.413a.svg</t>
  </si>
  <si>
    <t>https://commons.wikimedia.org/wiki/File:Vietnam_road_sign_I413a.svg</t>
  </si>
  <si>
    <t>619333ebebb6ac99de194a8160b2651b8b8325bd77f5a1c0e620c93b65c98f7e</t>
  </si>
  <si>
    <t>55ddddd5d5dcd85a</t>
  </si>
  <si>
    <t>https://commons.wikimedia.org/w/index.php?search=Vietnam%20road%20sign%20I413a&amp;title=Special:MediaSearch&amp;type=image</t>
  </si>
  <si>
    <t>I.413b</t>
  </si>
  <si>
    <t>Rẽ ra đường có làn đường dành cho ô tô khách</t>
  </si>
  <si>
    <t>04_bien_chi_dan/I.413b.svg</t>
  </si>
  <si>
    <t>https://commons.wikimedia.org/wiki/File:Vietnam_road_sign_I413b.svg</t>
  </si>
  <si>
    <t>c6d8386bc042c69d1ddb3ecac4960e416db68fe1ff4ad13a24559147ae4421dc</t>
  </si>
  <si>
    <t>41d0d031458c0d51</t>
  </si>
  <si>
    <t>https://commons.wikimedia.org/w/index.php?search=Vietnam%20road%20sign%20I413b&amp;title=Special:MediaSearch&amp;type=image</t>
  </si>
  <si>
    <t>I.413c</t>
  </si>
  <si>
    <t>04_bien_chi_dan/I.413c.svg</t>
  </si>
  <si>
    <t>https://commons.wikimedia.org/wiki/File:Vietnam_road_sign_I413c.svg</t>
  </si>
  <si>
    <t>dab6f55f4697d4b0dc6c6e5175fc118d92174dfa5f5573e6717e5f31f019890d</t>
  </si>
  <si>
    <t>714cce5d61c4c441</t>
  </si>
  <si>
    <t>https://commons.wikimedia.org/w/index.php?search=Vietnam%20road%20sign%20I413c&amp;title=Special:MediaSearch&amp;type=image</t>
  </si>
  <si>
    <t>I.414a</t>
  </si>
  <si>
    <t>I.414</t>
  </si>
  <si>
    <t>Chỉ hướng đường</t>
  </si>
  <si>
    <t>04_bien_chi_dan/I.414a.svg</t>
  </si>
  <si>
    <t>https://commons.wikimedia.org/wiki/File:Vietnam_road_sign_I414a.svg</t>
  </si>
  <si>
    <t>1ba4b69d9f39e8754900784185ec60cf1dbc650475ab9718001287c1a617b60b</t>
  </si>
  <si>
    <t>00311131e88ea800</t>
  </si>
  <si>
    <t>https://commons.wikimedia.org/w/index.php?search=Vietnam%20road%20sign%20I414a&amp;title=Special:MediaSearch&amp;type=image</t>
  </si>
  <si>
    <t>I.414b</t>
  </si>
  <si>
    <t>04_bien_chi_dan/I.414b.svg</t>
  </si>
  <si>
    <t>https://commons.wikimedia.org/wiki/File:Vietnam_road_sign_I414b.svg</t>
  </si>
  <si>
    <t>103a9648e49f08c9da44cdb19dd6624e9ce453f2f5520da1e29e68fdd9c87860</t>
  </si>
  <si>
    <t>001b39da9a706400</t>
  </si>
  <si>
    <t>https://commons.wikimedia.org/w/index.php?search=Vietnam%20road%20sign%20I414b&amp;title=Special:MediaSearch&amp;type=image</t>
  </si>
  <si>
    <t>I.414c</t>
  </si>
  <si>
    <t>04_bien_chi_dan/I.414c.svg</t>
  </si>
  <si>
    <t>https://commons.wikimedia.org/wiki/File:Vietnam_road_sign_I414c.svg</t>
  </si>
  <si>
    <t>a45adeaa37242b8a8866f791b926f9ea8395d7270dd80acae45c4ded52d91141</t>
  </si>
  <si>
    <t>00e82869e2d6d500</t>
  </si>
  <si>
    <t>https://commons.wikimedia.org/w/index.php?search=Vietnam%20road%20sign%20I414c&amp;title=Special:MediaSearch&amp;type=image</t>
  </si>
  <si>
    <t>I.414d</t>
  </si>
  <si>
    <t>04_bien_chi_dan/I.414d.svg</t>
  </si>
  <si>
    <t>https://commons.wikimedia.org/wiki/File:Vietnam_road_sign_I414d.svg</t>
  </si>
  <si>
    <t>028f8f09adc7576c51b164ad075c339b194202f593fb5745d0841f4eb4094663</t>
  </si>
  <si>
    <t>00e9281797939300</t>
  </si>
  <si>
    <t>https://commons.wikimedia.org/w/index.php?search=Vietnam%20road%20sign%20I414d&amp;title=Special:MediaSearch&amp;type=image</t>
  </si>
  <si>
    <t>I.415</t>
  </si>
  <si>
    <t>Mũi tên chỉ hướng đi</t>
  </si>
  <si>
    <t>04_bien_chi_dan/I.415.svg</t>
  </si>
  <si>
    <t>https://commons.wikimedia.org/wiki/File:Vietnam_road_sign_I415.svg</t>
  </si>
  <si>
    <t>c623f3aa8307b3963a1bd7eb0acef31e264a3b634f606d055fc0f486ec26811a</t>
  </si>
  <si>
    <t>0000250a2a050000</t>
  </si>
  <si>
    <t>https://commons.wikimedia.org/w/index.php?search=Vietnam%20road%20sign%20I415&amp;title=Special:MediaSearch&amp;type=image</t>
  </si>
  <si>
    <t>I.416</t>
  </si>
  <si>
    <t>Đường tránh</t>
  </si>
  <si>
    <t>04_bien_chi_dan/I.416.svg</t>
  </si>
  <si>
    <t>https://commons.wikimedia.org/wiki/File:Vietnam_road_sign_I416.svg</t>
  </si>
  <si>
    <t>391663c681e6d23f8b4a69c4823405f139113976a4340c2812c7f6e7077e8c05</t>
  </si>
  <si>
    <t>3f3743333f331717</t>
  </si>
  <si>
    <t>https://commons.wikimedia.org/w/index.php?search=Vietnam%20road%20sign%20I416&amp;title=Special:MediaSearch&amp;type=image</t>
  </si>
  <si>
    <t>I.417a</t>
  </si>
  <si>
    <t>I.417</t>
  </si>
  <si>
    <t>Chỉ hướng đường phải đi cho từng loại xe</t>
  </si>
  <si>
    <t>04_bien_chi_dan/I.417a.svg</t>
  </si>
  <si>
    <t>https://commons.wikimedia.org/wiki/File:Vietnam_road_sign_I417a.svg</t>
  </si>
  <si>
    <t>51c5a2e78e3923e28108db0d463116bf8131e1afda4de160e6afc97ca56a44f9</t>
  </si>
  <si>
    <t>0009358d1a7a0400</t>
  </si>
  <si>
    <t>https://commons.wikimedia.org/w/index.php?search=Vietnam%20road%20sign%20I417a&amp;title=Special:MediaSearch&amp;type=image</t>
  </si>
  <si>
    <t>I.417b</t>
  </si>
  <si>
    <t>04_bien_chi_dan/I.417b.svg</t>
  </si>
  <si>
    <t>https://commons.wikimedia.org/wiki/File:Vietnam_road_sign_I417b.svg</t>
  </si>
  <si>
    <t>5f48d1ada4ff11130c8ec1da9d953606281e68fd3fff86a14186d62474e72ebb</t>
  </si>
  <si>
    <t>0041a4b6b6b66500</t>
  </si>
  <si>
    <t>https://commons.wikimedia.org/w/index.php?search=Vietnam%20road%20sign%20I417b&amp;title=Special:MediaSearch&amp;type=image</t>
  </si>
  <si>
    <t>I.417c</t>
  </si>
  <si>
    <t>04_bien_chi_dan/I.417c.svg</t>
  </si>
  <si>
    <t>https://commons.wikimedia.org/wiki/File:Vietnam_road_sign_I417c.svg</t>
  </si>
  <si>
    <t>e3268d9569859d2167a02f3727d70f5041b6ef9db2b1bf4a79e0a055acf27da9</t>
  </si>
  <si>
    <t>00611a8c3a720500</t>
  </si>
  <si>
    <t>https://commons.wikimedia.org/w/index.php?search=Vietnam%20road%20sign%20I417c&amp;title=Special:MediaSearch&amp;type=image</t>
  </si>
  <si>
    <t>I.418</t>
  </si>
  <si>
    <t>Lối đi ở những vị trí cấm rẽ</t>
  </si>
  <si>
    <t>04_bien_chi_dan/I.418.svg</t>
  </si>
  <si>
    <t>https://commons.wikimedia.org/wiki/File:Vietnam_road_sign_I418.svg</t>
  </si>
  <si>
    <t>3bbcb6518c405098da32618900ed7acc7b10aee125631ba194d4e0fcbcc3dda5</t>
  </si>
  <si>
    <t>4a28acccccac8ccc</t>
  </si>
  <si>
    <t>https://commons.wikimedia.org/w/index.php?search=Vietnam%20road%20sign%20I418&amp;title=Special:MediaSearch&amp;type=image</t>
  </si>
  <si>
    <t>I.419a</t>
  </si>
  <si>
    <t>I.419</t>
  </si>
  <si>
    <t>Chỉ dẫn địa giới</t>
  </si>
  <si>
    <t>04_bien_chi_dan/I.419a.svg</t>
  </si>
  <si>
    <t>https://commons.wikimedia.org/wiki/File:Vietnam_road_sign_I419a.svg</t>
  </si>
  <si>
    <t>09e68bd03ff05940ef6adb2b42242849c2906a64abb855f66ca7de1a9e87e2d8</t>
  </si>
  <si>
    <t>2b5554a494c4d609</t>
  </si>
  <si>
    <t>https://commons.wikimedia.org/w/index.php?search=Vietnam%20road%20sign%20I419a&amp;title=Special:MediaSearch&amp;type=image</t>
  </si>
  <si>
    <t>I.419b</t>
  </si>
  <si>
    <t>Chỉ dẫn địa giới trên tuyến đường đối ngoại</t>
  </si>
  <si>
    <t>04_bien_chi_dan/I.419b.svg</t>
  </si>
  <si>
    <t>https://commons.wikimedia.org/wiki/File:Vietnam_road_sign_I419b.svg</t>
  </si>
  <si>
    <t>40338bcaadb284978c556ff39cfd5ff9aeccc979ebd116084d24c056b75954a6</t>
  </si>
  <si>
    <t>54d4616194c4c653</t>
  </si>
  <si>
    <t>https://commons.wikimedia.org/w/index.php?search=Vietnam%20road%20sign%20I419b&amp;title=Special:MediaSearch&amp;type=image</t>
  </si>
  <si>
    <t>I.422a</t>
  </si>
  <si>
    <t>I.422</t>
  </si>
  <si>
    <t>Di tích lịch sử</t>
  </si>
  <si>
    <t>04_bien_chi_dan/I.422a.svg</t>
  </si>
  <si>
    <t>https://commons.wikimedia.org/wiki/File:Vietnam_road_sign_I422a.svg</t>
  </si>
  <si>
    <t>e3e902997feced54fa16662a7f242e54d0ff61ca85ce8aac3f692384ab635131</t>
  </si>
  <si>
    <t>0035c4c633714d84</t>
  </si>
  <si>
    <t>https://commons.wikimedia.org/w/index.php?search=Vietnam%20road%20sign%20I422a&amp;title=Special:MediaSearch&amp;type=image</t>
  </si>
  <si>
    <t>I.422b</t>
  </si>
  <si>
    <t>Di tích lịch sử trên tuyến đường đối ngoại</t>
  </si>
  <si>
    <t>04_bien_chi_dan/I.422b.svg</t>
  </si>
  <si>
    <t>https://commons.wikimedia.org/wiki/File:Vietnam_road_sign_I422b.svg</t>
  </si>
  <si>
    <t>39e426cb44bfdf1ffe4525401810d1675d98ae34c03248499dd0cd37f27914b0</t>
  </si>
  <si>
    <t>8c3331c4c633718c</t>
  </si>
  <si>
    <t>https://commons.wikimedia.org/w/index.php?search=Vietnam%20road%20sign%20I422b&amp;title=Special:MediaSearch&amp;type=image</t>
  </si>
  <si>
    <t>I.423a</t>
  </si>
  <si>
    <t>I.423</t>
  </si>
  <si>
    <t>Vị trí người đi bộ sang ngang</t>
  </si>
  <si>
    <t>04_bien_chi_dan/I.423a.svg</t>
  </si>
  <si>
    <t>https://commons.wikimedia.org/wiki/File:Vietnam_road_sign_I423a.svg</t>
  </si>
  <si>
    <t>81539c245285e32c864715b18965e72e97068961f3c408368e3aaa1d3cb0fad5</t>
  </si>
  <si>
    <t>6192d4cc69693355</t>
  </si>
  <si>
    <t>https://commons.wikimedia.org/w/index.php?search=Vietnam%20road%20sign%20I423a&amp;title=Special:MediaSearch&amp;type=image</t>
  </si>
  <si>
    <t>I.423b</t>
  </si>
  <si>
    <t>04_bien_chi_dan/I.423b.svg</t>
  </si>
  <si>
    <t>https://commons.wikimedia.org/wiki/File:Vietnam_road_sign_I423b.svg</t>
  </si>
  <si>
    <t>deeb861d3848a8b164da2eedd05cf548ec4581575ccb0780b98886208b89c664</t>
  </si>
  <si>
    <t>49b6d4cc69693355</t>
  </si>
  <si>
    <t>https://commons.wikimedia.org/w/index.php?search=Vietnam%20road%20sign%20I423b&amp;title=Special:MediaSearch&amp;type=image</t>
  </si>
  <si>
    <t>I.423c</t>
  </si>
  <si>
    <t>Điểm bắt đầu đường đi bộ</t>
  </si>
  <si>
    <t>04_bien_chi_dan/I.423c.svg</t>
  </si>
  <si>
    <t>https://commons.wikimedia.org/wiki/File:Vietnam_road_sign_I423c.svg</t>
  </si>
  <si>
    <t>a0c9fca34f5305a982879d022cbcbc3bcb8c570339745c4a2d8848b70fdc830a</t>
  </si>
  <si>
    <t>23336949150d5d45</t>
  </si>
  <si>
    <t>https://commons.wikimedia.org/w/index.php?search=Vietnam%20road%20sign%20I423c&amp;title=Special:MediaSearch&amp;type=image</t>
  </si>
  <si>
    <t>I.424a</t>
  </si>
  <si>
    <t>I.424</t>
  </si>
  <si>
    <t>Cầu vượt qua đường cho người đi bộ</t>
  </si>
  <si>
    <t>04_bien_chi_dan/I.424a.svg</t>
  </si>
  <si>
    <t>https://commons.wikimedia.org/wiki/File:Vietnam_road_sign_I424a.svg</t>
  </si>
  <si>
    <t>b0cbb22836bc12ec86741c780f2dbc9f09844d78b3817d5d43e1bac1db172396</t>
  </si>
  <si>
    <t>3e69991959595b45</t>
  </si>
  <si>
    <t>https://commons.wikimedia.org/w/index.php?search=Vietnam%20road%20sign%20I424a&amp;title=Special:MediaSearch&amp;type=image</t>
  </si>
  <si>
    <t>I.424b</t>
  </si>
  <si>
    <t>04_bien_chi_dan/I.424b.svg</t>
  </si>
  <si>
    <t>https://commons.wikimedia.org/wiki/File:Vietnam_road_sign_I424b.svg</t>
  </si>
  <si>
    <t>3ffd264fcbeef29555194be761f7ed02c3c7d2ff58df166247912234ba3da434</t>
  </si>
  <si>
    <t>8361666565652549</t>
  </si>
  <si>
    <t>https://commons.wikimedia.org/w/index.php?search=Vietnam%20road%20sign%20I424b&amp;title=Special:MediaSearch&amp;type=image</t>
  </si>
  <si>
    <t>I.424c</t>
  </si>
  <si>
    <t>Hầm chui qua đường cho người đi bộ</t>
  </si>
  <si>
    <t>04_bien_chi_dan/I.424c.svg</t>
  </si>
  <si>
    <t>https://commons.wikimedia.org/wiki/File:Vietnam_road_sign_I424c.svg</t>
  </si>
  <si>
    <t>4debde7e7f15780e340dadca70292ff380085901fb03745a7c92b2981ac9e4cc</t>
  </si>
  <si>
    <t>83713a5959595b45</t>
  </si>
  <si>
    <t>https://commons.wikimedia.org/w/index.php?search=Vietnam%20road%20sign%20I424c&amp;title=Special:MediaSearch&amp;type=image</t>
  </si>
  <si>
    <t>I.424d</t>
  </si>
  <si>
    <t>04_bien_chi_dan/I.424d.svg</t>
  </si>
  <si>
    <t>https://commons.wikimedia.org/wiki/File:Vietnam_road_sign_I424d.svg</t>
  </si>
  <si>
    <t>58981d2dc8a519e8897e93ce8e0638e72eb66cc5b4d36eec248271548d144fe5</t>
  </si>
  <si>
    <t>3e71a36565652559</t>
  </si>
  <si>
    <t>https://commons.wikimedia.org/w/index.php?search=Vietnam%20road%20sign%20I424d&amp;title=Special:MediaSearch&amp;type=image</t>
  </si>
  <si>
    <t>I.425</t>
  </si>
  <si>
    <t>Bệnh viện</t>
  </si>
  <si>
    <t>04_bien_chi_dan/I.425.svg</t>
  </si>
  <si>
    <t>https://commons.wikimedia.org/wiki/File:Vietnam_road_sign_I425.svg</t>
  </si>
  <si>
    <t>42e86e19361139b1e8e6cd5ac9928f3969df8bfe277f1f571bd467fc8afdd110</t>
  </si>
  <si>
    <t>56c4cd0951414141</t>
  </si>
  <si>
    <t>https://commons.wikimedia.org/w/index.php?search=Vietnam%20road%20sign%20I425&amp;title=Special:MediaSearch&amp;type=image</t>
  </si>
  <si>
    <t>I.426</t>
  </si>
  <si>
    <t>Trạm cấp cứu</t>
  </si>
  <si>
    <t>04_bien_chi_dan/I.426.svg</t>
  </si>
  <si>
    <t>https://commons.wikimedia.org/wiki/File:Vietnam_road_sign_I426.svg</t>
  </si>
  <si>
    <t>d2d6e62630811348d64b6d6b3029581c499c36a1d5eaae2d3cc9e17c50c93948</t>
  </si>
  <si>
    <t>23334d4d0f0f4d4d</t>
  </si>
  <si>
    <t>https://commons.wikimedia.org/w/index.php?search=Vietnam%20road%20sign%20I426&amp;title=Special:MediaSearch&amp;type=image</t>
  </si>
  <si>
    <t>I.427a</t>
  </si>
  <si>
    <t>Trạm sửa chữa</t>
  </si>
  <si>
    <t>04_bien_chi_dan/I.427a.svg</t>
  </si>
  <si>
    <t>https://commons.wikimedia.org/wiki/File:Vietnam_road_sign_I427a.svg</t>
  </si>
  <si>
    <t>dfc41097083c196a9909409a83cf332a77b6ef3da7b068f63f4fbbdfa618784b</t>
  </si>
  <si>
    <t>23234949494d4d4d</t>
  </si>
  <si>
    <t>User confirmed 2026-10-18: standalone; no parent code.</t>
  </si>
  <si>
    <t>https://commons.wikimedia.org/w/index.php?search=Vietnam%20road%20sign%20I427a&amp;title=Special:MediaSearch&amp;type=image</t>
  </si>
  <si>
    <t>I.427b</t>
  </si>
  <si>
    <t>Công trình kiểm soát tải trọng xe</t>
  </si>
  <si>
    <t>04_bien_chi_dan/I.427b.svg</t>
  </si>
  <si>
    <t>https://commons.wikimedia.org/wiki/File:Vietnam_road_sign_I.427b_(QCVN_41-2024-BGTVT).svg</t>
  </si>
  <si>
    <t>68455d2fb0241193b7a37ac89a4f61f92302a5c8afb719d7c1f846bfa0f629ae</t>
  </si>
  <si>
    <t>2323697555594d61</t>
  </si>
  <si>
    <t>https://commons.wikimedia.org/w/index.php?search=Vietnam%20road%20sign%20I427b&amp;title=Special:MediaSearch&amp;type=image</t>
  </si>
  <si>
    <t>I.428a</t>
  </si>
  <si>
    <t>I.428</t>
  </si>
  <si>
    <t>Cửa hàng xăng dầu</t>
  </si>
  <si>
    <t>04_bien_chi_dan/I.428a.svg</t>
  </si>
  <si>
    <t>https://commons.wikimedia.org/wiki/File:Vietnam_road_sign_I428.svg</t>
  </si>
  <si>
    <t>7d24c77361dc273f93ebe8ef9a0b002e56907b591d29ec7db47073d1b12bb478</t>
  </si>
  <si>
    <t>2323714d4d454d4d</t>
  </si>
  <si>
    <t>https://commons.wikimedia.org/w/index.php?search=Vietnam%20road%20sign%20I428&amp;title=Special:MediaSearch&amp;type=image</t>
  </si>
  <si>
    <t>I.428b</t>
  </si>
  <si>
    <t>Trạm nạp điện</t>
  </si>
  <si>
    <t>04_bien_chi_dan/I.428b.svg</t>
  </si>
  <si>
    <t>https://commons.wikimedia.org/wiki/File:Vietnam_road_sign_I.428b.svg</t>
  </si>
  <si>
    <t>f298efc834220bb939b02483a628d14c1b666682743530e81a04c6c0b2ab8d6b</t>
  </si>
  <si>
    <t>2323754d4d5d4b49</t>
  </si>
  <si>
    <t>https://commons.wikimedia.org/w/index.php?search=Vietnam%20road%20sign%20I428b&amp;title=Special:MediaSearch&amp;type=image</t>
  </si>
  <si>
    <t>I.428c</t>
  </si>
  <si>
    <t>Cửa hàng xăng dầu và Trạm nạp điện</t>
  </si>
  <si>
    <t>04_bien_chi_dan/I.428c.svg</t>
  </si>
  <si>
    <t>https://commons.wikimedia.org/wiki/File:Vietnam_road_sign_I.428c.svg</t>
  </si>
  <si>
    <t>6f96c26ff36fd14769002cb3e1502295806deaeb35aa76ef455d219a412c3741</t>
  </si>
  <si>
    <t>2323614d55454d4d</t>
  </si>
  <si>
    <t>https://commons.wikimedia.org/w/index.php?search=Vietnam%20road%20sign%20I428c&amp;title=Special:MediaSearch&amp;type=image</t>
  </si>
  <si>
    <t>I.429</t>
  </si>
  <si>
    <t>Nơi rửa xe</t>
  </si>
  <si>
    <t>04_bien_chi_dan/I.429.svg</t>
  </si>
  <si>
    <t>https://commons.wikimedia.org/wiki/File:Vietnam_road_sign_I429.svg</t>
  </si>
  <si>
    <t>efa2ce978963d2db26e2214f57943f1607ef49fa564a9fe138a346f7153b4143</t>
  </si>
  <si>
    <t>2b2b155555554d4d</t>
  </si>
  <si>
    <t>https://commons.wikimedia.org/w/index.php?search=Vietnam%20road%20sign%20I429&amp;title=Special:MediaSearch&amp;type=image</t>
  </si>
  <si>
    <t>I.430</t>
  </si>
  <si>
    <t>Điện thoại</t>
  </si>
  <si>
    <t>04_bien_chi_dan/I.430.svg</t>
  </si>
  <si>
    <t>https://commons.wikimedia.org/wiki/File:Vietnam_road_sign_I430.svg</t>
  </si>
  <si>
    <t>ab139c15cf4bd862b25180f09f42bdb8c9fc65c1dcad026033d552df7b110956</t>
  </si>
  <si>
    <t>2333494d45454d6d</t>
  </si>
  <si>
    <t>https://commons.wikimedia.org/w/index.php?search=Vietnam%20road%20sign%20I430&amp;title=Special:MediaSearch&amp;type=image</t>
  </si>
  <si>
    <t>I.431</t>
  </si>
  <si>
    <t>Trạm dừng nghỉ</t>
  </si>
  <si>
    <t>04_bien_chi_dan/I.431.svg</t>
  </si>
  <si>
    <t>https://commons.wikimedia.org/wiki/File:Vietnam_road_sign_I431.svg</t>
  </si>
  <si>
    <t>836b04b0c1b6c1991fd7e92d53c298a051ee8eeee4144a4668ae57ba365f0d40</t>
  </si>
  <si>
    <t>332b1113534d4d4d</t>
  </si>
  <si>
    <t>https://commons.wikimedia.org/w/index.php?search=Vietnam%20road%20sign%20I431&amp;title=Special:MediaSearch&amp;type=image</t>
  </si>
  <si>
    <t>I.432</t>
  </si>
  <si>
    <t>Khách sạn</t>
  </si>
  <si>
    <t>04_bien_chi_dan/I.432.svg</t>
  </si>
  <si>
    <t>https://commons.wikimedia.org/wiki/File:Vietnam_road_sign_I432.svg</t>
  </si>
  <si>
    <t>587a2f0fb3d961ff1bc6094da2753cd5d268d6b213907df5192f3a9dcdbc9c30</t>
  </si>
  <si>
    <t>1b1b7945471d5961</t>
  </si>
  <si>
    <t>https://commons.wikimedia.org/w/index.php?search=Vietnam%20road%20sign%20I432&amp;title=Special:MediaSearch&amp;type=image</t>
  </si>
  <si>
    <t>I.433a</t>
  </si>
  <si>
    <t>I.433</t>
  </si>
  <si>
    <t>Nơi nghỉ mát</t>
  </si>
  <si>
    <t>04_bien_chi_dan/I.433a.svg</t>
  </si>
  <si>
    <t>https://commons.wikimedia.org/wiki/File:Vietnam_road_sign_I433a.svg</t>
  </si>
  <si>
    <t>aeffad18fe8398373d13fe1661880845b1ce2dfc9bffa2f2491301350d099400</t>
  </si>
  <si>
    <t>2b2b55554d4d4d65</t>
  </si>
  <si>
    <t>https://commons.wikimedia.org/w/index.php?search=Vietnam%20road%20sign%20I433a&amp;title=Special:MediaSearch&amp;type=image</t>
  </si>
  <si>
    <t>I.433b</t>
  </si>
  <si>
    <t>Nơi cắm trại</t>
  </si>
  <si>
    <t>04_bien_chi_dan/I.433b.svg</t>
  </si>
  <si>
    <t>https://commons.wikimedia.org/wiki/File:Vietnam_road_sign_I433b.svg</t>
  </si>
  <si>
    <t>ee49bc385938227401d9405d2d73e3abcc8d5d17e050613c2b67d672eff83ca8</t>
  </si>
  <si>
    <t>23236955554d4971</t>
  </si>
  <si>
    <t>https://commons.wikimedia.org/w/index.php?search=Vietnam%20road%20sign%20I433b&amp;title=Special:MediaSearch&amp;type=image</t>
  </si>
  <si>
    <t>I.433c</t>
  </si>
  <si>
    <t>Nơi dành cho nhà lưu động</t>
  </si>
  <si>
    <t>04_bien_chi_dan/I.433c.svg</t>
  </si>
  <si>
    <t>https://commons.wikimedia.org/wiki/File:Vietnam_road_sign_I433c.svg</t>
  </si>
  <si>
    <t>6552fb3f8d4bbacbb48ab7a49c28833e59078c80b79316fc8ea2fcf966daacf1</t>
  </si>
  <si>
    <t>2323714d0f2f4d71</t>
  </si>
  <si>
    <t>https://commons.wikimedia.org/w/index.php?search=Vietnam%20road%20sign%20I433c&amp;title=Special:MediaSearch&amp;type=image</t>
  </si>
  <si>
    <t>I.433d</t>
  </si>
  <si>
    <t>Nơi cắm trại và nhà lưu động</t>
  </si>
  <si>
    <t>04_bien_chi_dan/I.433d.svg</t>
  </si>
  <si>
    <t>https://commons.wikimedia.org/wiki/File:Vietnam_road_sign_I433d.svg</t>
  </si>
  <si>
    <t>488219d740d9821fa608ed4b0b392af1cd61a5093e57bcd48679ae7160bb7623</t>
  </si>
  <si>
    <t>23334d4d4d4d4d69</t>
  </si>
  <si>
    <t>https://commons.wikimedia.org/w/index.php?search=Vietnam%20road%20sign%20I433d&amp;title=Special:MediaSearch&amp;type=image</t>
  </si>
  <si>
    <t>I.433e</t>
  </si>
  <si>
    <t>Nhà trọ</t>
  </si>
  <si>
    <t>04_bien_chi_dan/I.433e.svg</t>
  </si>
  <si>
    <t>https://commons.wikimedia.org/wiki/File:Vietnam_road_sign_I433e.svg</t>
  </si>
  <si>
    <t>ab8abe2ff3ed4ea34cd63d9ba6759552168baa1a7a414a57ac4fa1c9c22b5e82</t>
  </si>
  <si>
    <t>2323714d1f534169</t>
  </si>
  <si>
    <t>https://commons.wikimedia.org/w/index.php?search=Vietnam%20road%20sign%20I433e&amp;title=Special:MediaSearch&amp;type=image</t>
  </si>
  <si>
    <t>I.434a</t>
  </si>
  <si>
    <t>Bến xe buýt</t>
  </si>
  <si>
    <t>04_bien_chi_dan/I.434a.svg</t>
  </si>
  <si>
    <t>https://commons.wikimedia.org/wiki/File:Vietnam_road_sign_I434a.svg</t>
  </si>
  <si>
    <t>c916c82155a743a2cdd5ee9e12adca8464bb6a4da4ece17dd1f7d78d6c9e1f62</t>
  </si>
  <si>
    <t>2b27654117074161</t>
  </si>
  <si>
    <t>https://commons.wikimedia.org/w/index.php?search=Vietnam%20road%20sign%20I434a&amp;title=Special:MediaSearch&amp;type=image</t>
  </si>
  <si>
    <t>I.434b</t>
  </si>
  <si>
    <t>Bến xe tải</t>
  </si>
  <si>
    <t>04_bien_chi_dan/I.434b.svg</t>
  </si>
  <si>
    <t>https://commons.wikimedia.org/wiki/File:Vietnam_road_sign_I434b.svg</t>
  </si>
  <si>
    <t>9d5acf91ed2b88ec3b76f44a133c102d914a9e50bc9b094ba25cbc9c2375d954</t>
  </si>
  <si>
    <t>33176d41330f4d61</t>
  </si>
  <si>
    <t>https://commons.wikimedia.org/w/index.php?search=Vietnam%20road%20sign%20I434b&amp;title=Special:MediaSearch&amp;type=image</t>
  </si>
  <si>
    <t>I.435</t>
  </si>
  <si>
    <t>Bến xe điện</t>
  </si>
  <si>
    <t>04_bien_chi_dan/I.435.svg</t>
  </si>
  <si>
    <t>https://commons.wikimedia.org/wiki/File:Vietnam_road_sign_I435.svg</t>
  </si>
  <si>
    <t>3a932965348201db4ab3e1e268e180dcff727c3a211078cbe92922cb59ea81fb</t>
  </si>
  <si>
    <t>0b2b6971170f5d71</t>
  </si>
  <si>
    <t>https://commons.wikimedia.org/w/index.php?search=Vietnam%20road%20sign%20I435&amp;title=Special:MediaSearch&amp;type=image</t>
  </si>
  <si>
    <t>I.436</t>
  </si>
  <si>
    <t>Trạm cảnh sát giao thông</t>
  </si>
  <si>
    <t>04_bien_chi_dan/I.436.svg</t>
  </si>
  <si>
    <t>https://commons.wikimedia.org/wiki/File:Vietnam_road_sign_I436.svg</t>
  </si>
  <si>
    <t>b69406392b68105af7905912b4359c57ca897d92179bffc32f48bd0483102f17</t>
  </si>
  <si>
    <t>2b2b7141495d7161</t>
  </si>
  <si>
    <t>https://commons.wikimedia.org/w/index.php?search=Vietnam%20road%20sign%20I436&amp;title=Special:MediaSearch&amp;type=image</t>
  </si>
  <si>
    <t>I.437</t>
  </si>
  <si>
    <t>Đường cao tốc</t>
  </si>
  <si>
    <t>04_bien_chi_dan/I.437.svg</t>
  </si>
  <si>
    <t>https://commons.wikimedia.org/wiki/File:Vietnam_road_sign_I437.svg</t>
  </si>
  <si>
    <t>f0bc106b538906746cc0e9c488f08e7098708a24e1b53895c1a9e76ea5baf0d1</t>
  </si>
  <si>
    <t>2b69692b2b713333</t>
  </si>
  <si>
    <t>https://commons.wikimedia.org/w/index.php?search=Vietnam%20road%20sign%20I437&amp;title=Special:MediaSearch&amp;type=image</t>
  </si>
  <si>
    <t>I.439</t>
  </si>
  <si>
    <t>Tên cầu</t>
  </si>
  <si>
    <t>04_bien_chi_dan/I.439.svg</t>
  </si>
  <si>
    <t>https://commons.wikimedia.org/wiki/File:Vietnam_road_sign_I439.svg</t>
  </si>
  <si>
    <t>f59735e6553a5b4e9c588aab1c27322850e7d79ffd25c8b5842882430b9f6a07</t>
  </si>
  <si>
    <t>00512eec96922500</t>
  </si>
  <si>
    <t>https://commons.wikimedia.org/w/index.php?search=Vietnam%20road%20sign%20I439&amp;title=Special:MediaSearch&amp;type=image</t>
  </si>
  <si>
    <t>I.440</t>
  </si>
  <si>
    <t>Đường đang thi công</t>
  </si>
  <si>
    <t>04_bien_chi_dan/I.440.svg</t>
  </si>
  <si>
    <t>https://commons.wikimedia.org/wiki/File:Vietnam_road_sign_I440.svg</t>
  </si>
  <si>
    <t>0a95d1b01bc482f0e0004b9e636e5fcd19524c315c3367a77b5d4ce932f4af12</t>
  </si>
  <si>
    <t>000025f49aa90000</t>
  </si>
  <si>
    <t>https://commons.wikimedia.org/w/index.php?search=Vietnam%20road%20sign%20I440&amp;title=Special:MediaSearch&amp;type=image</t>
  </si>
  <si>
    <t>I.441a</t>
  </si>
  <si>
    <t>I.441</t>
  </si>
  <si>
    <t>Báo hiệu phía trước có công trường thi công</t>
  </si>
  <si>
    <t>04_bien_chi_dan/I.441a.svg</t>
  </si>
  <si>
    <t>https://commons.wikimedia.org/wiki/File:Vietnam_road_sign_I441a.svg</t>
  </si>
  <si>
    <t>4594f944b589b03b82926fe2dcd3d55e3f84b472699ab8a9f619f95f47896b7e</t>
  </si>
  <si>
    <t>33330f3333332b2b</t>
  </si>
  <si>
    <t>https://commons.wikimedia.org/w/index.php?search=Vietnam%20road%20sign%20I441a&amp;title=Special:MediaSearch&amp;type=image</t>
  </si>
  <si>
    <t>I.441b</t>
  </si>
  <si>
    <t>04_bien_chi_dan/I.441b.svg</t>
  </si>
  <si>
    <t>https://commons.wikimedia.org/wiki/File:Vietnam_road_sign_I441b.svg</t>
  </si>
  <si>
    <t>6ae929d6430e0f7f944535d9b919e6cbc2bc656f16e7efcf463615a5a3943aff</t>
  </si>
  <si>
    <t>https://commons.wikimedia.org/w/index.php?search=Vietnam%20road%20sign%20I441b&amp;title=Special:MediaSearch&amp;type=image</t>
  </si>
  <si>
    <t>I.441c</t>
  </si>
  <si>
    <t>04_bien_chi_dan/I.441c.svg</t>
  </si>
  <si>
    <t>https://commons.wikimedia.org/wiki/File:Vietnam_road_sign_I441c.svg</t>
  </si>
  <si>
    <t>b835a36f159f39effa71f1bb1f2695b7c45c5669952b1c3695fe547b2d40a9b5</t>
  </si>
  <si>
    <t>https://commons.wikimedia.org/w/index.php?search=Vietnam%20road%20sign%20I441c&amp;title=Special:MediaSearch&amp;type=image</t>
  </si>
  <si>
    <t>I.442</t>
  </si>
  <si>
    <t>Chợ</t>
  </si>
  <si>
    <t>04_bien_chi_dan/I.442.svg</t>
  </si>
  <si>
    <t>https://commons.wikimedia.org/wiki/File:Vietnam_road_sign_I442.svg</t>
  </si>
  <si>
    <t>3ad146ffa1219b385c79e90f6655da2f556bca3df92cb3b3887accb7cfeddce9</t>
  </si>
  <si>
    <t>05f6656971337109</t>
  </si>
  <si>
    <t>https://commons.wikimedia.org/w/index.php?search=Vietnam%20road%20sign%20I442&amp;title=Special:MediaSearch&amp;type=image</t>
  </si>
  <si>
    <t>I.443</t>
  </si>
  <si>
    <t>Xe kéo rơ-moóc</t>
  </si>
  <si>
    <t>04_bien_chi_dan/I.443.svg</t>
  </si>
  <si>
    <t>https://commons.wikimedia.org/wiki/File:Vietnam_road_sign_I443.svg</t>
  </si>
  <si>
    <t>9ba0caac32191cfd9cd5399e86a063acb30641da7665a3c326c2d672f66b24b0</t>
  </si>
  <si>
    <t>0345696933335549</t>
  </si>
  <si>
    <t>https://commons.wikimedia.org/w/index.php?search=Vietnam%20road%20sign%20I443&amp;title=Special:MediaSearch&amp;type=image</t>
  </si>
  <si>
    <t>I.444a</t>
  </si>
  <si>
    <t>I.444</t>
  </si>
  <si>
    <t>Ga tàu</t>
  </si>
  <si>
    <t>04_bien_chi_dan/I.444a.svg</t>
  </si>
  <si>
    <t>https://commons.wikimedia.org/wiki/File:Vietnam_road_sign_I444a.svg</t>
  </si>
  <si>
    <t>62fac9fdd0f52dc22c9dd5c9b3f948e9396c091200e3a88b70ebccc244fd40c2</t>
  </si>
  <si>
    <t>000059b8b8990000</t>
  </si>
  <si>
    <t>https://commons.wikimedia.org/w/index.php?search=Vietnam%20road%20sign%20I444a&amp;title=Special:MediaSearch&amp;type=image</t>
  </si>
  <si>
    <t>I.444b</t>
  </si>
  <si>
    <t>Biển báo sân bay</t>
  </si>
  <si>
    <t>04_bien_chi_dan/I.444b.svg</t>
  </si>
  <si>
    <t>https://commons.wikimedia.org/wiki/File:Vietnam_road_sign_I444b.svg</t>
  </si>
  <si>
    <t>612d5fd6ac8f915fa1c4e03b4303b01b22984401c9372040357e25d91d44f4cb</t>
  </si>
  <si>
    <t>000059d8b8190000</t>
  </si>
  <si>
    <t>https://commons.wikimedia.org/w/index.php?search=Vietnam%20road%20sign%20I444b&amp;title=Special:MediaSearch&amp;type=image</t>
  </si>
  <si>
    <t>I.444c</t>
  </si>
  <si>
    <t>Biển báo bãi đậu xe</t>
  </si>
  <si>
    <t>04_bien_chi_dan/I.444c.svg</t>
  </si>
  <si>
    <t>https://commons.wikimedia.org/wiki/File:Vietnam_road_sign_I444c.svg</t>
  </si>
  <si>
    <t>d56e4088de90f4895861fc09843b93bd484489e5b8f0f1cb08ebe0473e9ba77a</t>
  </si>
  <si>
    <t>0000195951990000</t>
  </si>
  <si>
    <t>https://commons.wikimedia.org/w/index.php?search=Vietnam%20road%20sign%20I444c&amp;title=Special:MediaSearch&amp;type=image</t>
  </si>
  <si>
    <t>I.444d</t>
  </si>
  <si>
    <t>Biển báo bến xe khách đường dài</t>
  </si>
  <si>
    <t>04_bien_chi_dan/I.444d.svg</t>
  </si>
  <si>
    <t>https://commons.wikimedia.org/wiki/File:Vietnam_road_sign_I444d.svg</t>
  </si>
  <si>
    <t>ee87567262d0c35bbb9fef6d888f9f49158e66f12cb7c8dc95bdee44f6dee9be</t>
  </si>
  <si>
    <t>00001dcc9c0d0000</t>
  </si>
  <si>
    <t>https://commons.wikimedia.org/w/index.php?search=Vietnam%20road%20sign%20I444d&amp;title=Special:MediaSearch&amp;type=image</t>
  </si>
  <si>
    <t>I.444e</t>
  </si>
  <si>
    <t>Biển chỉ dẫn trạm cấp cứu</t>
  </si>
  <si>
    <t>04_bien_chi_dan/I.444e.svg</t>
  </si>
  <si>
    <t>https://commons.wikimedia.org/wiki/File:Vietnam_road_sign_I444e.svg</t>
  </si>
  <si>
    <t>7386cb78cf98db9340dc5cbea547edc42b35ec8e235c25e57d5074c5a332ed21</t>
  </si>
  <si>
    <t>00004dcd581d0000</t>
  </si>
  <si>
    <t>https://commons.wikimedia.org/w/index.php?search=Vietnam%20road%20sign%20I444e&amp;title=Special:MediaSearch&amp;type=image</t>
  </si>
  <si>
    <t>I.444f</t>
  </si>
  <si>
    <t>Biển báo bến tàu khách</t>
  </si>
  <si>
    <t>04_bien_chi_dan/I.444f.svg</t>
  </si>
  <si>
    <t>https://commons.wikimedia.org/wiki/File:Vietnam_road_sign_I444f.svg</t>
  </si>
  <si>
    <t>6c293b3ca282818f3a328f669c05373a90d6de0732d44b73a2f964d95c4d66ed</t>
  </si>
  <si>
    <t>00005bbcb8190000</t>
  </si>
  <si>
    <t>https://commons.wikimedia.org/w/index.php?search=Vietnam%20road%20sign%20I444f&amp;title=Special:MediaSearch&amp;type=image</t>
  </si>
  <si>
    <t>I.444g</t>
  </si>
  <si>
    <t>Biển chỉ dẫn khu danh thắng và du lịch</t>
  </si>
  <si>
    <t>04_bien_chi_dan/I.444g.svg</t>
  </si>
  <si>
    <t>https://commons.wikimedia.org/wiki/File:Vietnam_road_sign_I444g.svg</t>
  </si>
  <si>
    <t>b466464b883d23474f0e824c5a7ce07414b289b02697ed8a6ac0a1cfbc99d94d</t>
  </si>
  <si>
    <t>0000198aaa0d0000</t>
  </si>
  <si>
    <t>https://commons.wikimedia.org/w/index.php?search=Vietnam%20road%20sign%20I444g&amp;title=Special:MediaSearch&amp;type=image</t>
  </si>
  <si>
    <t>I.444h</t>
  </si>
  <si>
    <t>Biển chỉ dẫn trạm xăng</t>
  </si>
  <si>
    <t>04_bien_chi_dan/I.444h.svg</t>
  </si>
  <si>
    <t>https://commons.wikimedia.org/wiki/File:Vietnam_road_sign_I444h.svg</t>
  </si>
  <si>
    <t>7881df1ca75ffca770910a28347fb5d6ba48d25cdf14a134f57de265d950db1d</t>
  </si>
  <si>
    <t>00001dca5a190000</t>
  </si>
  <si>
    <t>https://commons.wikimedia.org/w/index.php?search=Vietnam%20road%20sign%20I444h&amp;title=Special:MediaSearch&amp;type=image</t>
  </si>
  <si>
    <t>I.444i</t>
  </si>
  <si>
    <t>Biển chỉ dẫn trạm rửa xe</t>
  </si>
  <si>
    <t>04_bien_chi_dan/I.444i.svg</t>
  </si>
  <si>
    <t>https://commons.wikimedia.org/wiki/File:Vietnam_road_sign_I444i.svg</t>
  </si>
  <si>
    <t>987725d0a03f6767f878fff912eb6e226f1d73c511e958838f46e4cfc000a6ec</t>
  </si>
  <si>
    <t>000019d8d8590000</t>
  </si>
  <si>
    <t>https://commons.wikimedia.org/w/index.php?search=Vietnam%20road%20sign%20I444i&amp;title=Special:MediaSearch&amp;type=image</t>
  </si>
  <si>
    <t>I.444j</t>
  </si>
  <si>
    <t>Biển chỉ dẫn bến phà</t>
  </si>
  <si>
    <t>04_bien_chi_dan/I.444j.svg</t>
  </si>
  <si>
    <t>https://commons.wikimedia.org/wiki/File:Vietnam_road_sign_I444j.svg</t>
  </si>
  <si>
    <t>3b46ae86c93b95dcecb9fbec0a0f06e6f11943ac75cce28e19a99e1653bd084a</t>
  </si>
  <si>
    <t>000019d8bc190000</t>
  </si>
  <si>
    <t>https://commons.wikimedia.org/w/index.php?search=Vietnam%20road%20sign%20I444j&amp;title=Special:MediaSearch&amp;type=image</t>
  </si>
  <si>
    <t>I.444k</t>
  </si>
  <si>
    <t>Biển báo ga tàu điện ngầm</t>
  </si>
  <si>
    <t>04_bien_chi_dan/I.444k.svg</t>
  </si>
  <si>
    <t>https://commons.wikimedia.org/wiki/File:Vietnam_road_sign_I444k.svg</t>
  </si>
  <si>
    <t>e114fae1f309a975e983672c9bafc98b47802fccb68d070d106c86eb39e46bd0</t>
  </si>
  <si>
    <t>00001c6ccc1d0000</t>
  </si>
  <si>
    <t>https://commons.wikimedia.org/w/index.php?search=Vietnam%20road%20sign%20I444k&amp;title=Special:MediaSearch&amp;type=image</t>
  </si>
  <si>
    <t>I.444l</t>
  </si>
  <si>
    <t>Biển chỉ dẫn khu vực dịch vụ cho khách đi đường</t>
  </si>
  <si>
    <t>04_bien_chi_dan/I.444l.svg</t>
  </si>
  <si>
    <t>https://commons.wikimedia.org/wiki/File:Vietnam_road_sign_I444l.svg</t>
  </si>
  <si>
    <t>fd43a4b1b7d384367eb8b377c6c365e6932ae713b4da478e524e59e002d1b5b3</t>
  </si>
  <si>
    <t>00000dec2c0d0000</t>
  </si>
  <si>
    <t>https://commons.wikimedia.org/w/index.php?search=Vietnam%20road%20sign%20I444l&amp;title=Special:MediaSearch&amp;type=image</t>
  </si>
  <si>
    <t>I.444m</t>
  </si>
  <si>
    <t>Biển báo trạm sửa chữa xe</t>
  </si>
  <si>
    <t>04_bien_chi_dan/I.444m.svg</t>
  </si>
  <si>
    <t>https://commons.wikimedia.org/wiki/File:Vietnam_road_sign_I444m.svg</t>
  </si>
  <si>
    <t>2f55986f89efa239be5ad06caea1c9d139e65d1edeace88bbe89263c7a491fc7</t>
  </si>
  <si>
    <t>0000154e4c050000</t>
  </si>
  <si>
    <t>https://commons.wikimedia.org/w/index.php?search=Vietnam%20road%20sign%20I444m&amp;title=Special:MediaSearch&amp;type=image</t>
  </si>
  <si>
    <t>I.445a</t>
  </si>
  <si>
    <t>I.445</t>
  </si>
  <si>
    <t>Biểu báo đường trơn phải chạy chậm</t>
  </si>
  <si>
    <t>04_bien_chi_dan/I.445a.svg</t>
  </si>
  <si>
    <t>https://commons.wikimedia.org/wiki/File:Vietnam_road_sign_I445a.svg</t>
  </si>
  <si>
    <t>f0aadd37cbe236dd5d6f4c7012000fd8db047788569879e077ed2537f497908a</t>
  </si>
  <si>
    <t>00002cac2b2c0000</t>
  </si>
  <si>
    <t>Chính Markdown nhắc I.445c trong danh sách I.447a,b,c,d; có dấu hiệu lỗi mã trong văn bản nguồn, không tự sửa nguồn. | Bản ghi JSON gốc được đánh dấu review_required.</t>
  </si>
  <si>
    <t>https://commons.wikimedia.org/w/index.php?search=Vietnam%20road%20sign%20I445a&amp;title=Special:MediaSearch&amp;type=image</t>
  </si>
  <si>
    <t>I.445b</t>
  </si>
  <si>
    <t>Biển báo đường dốc phải đi chậm, lái xe phải cẩn thận</t>
  </si>
  <si>
    <t>04_bien_chi_dan/I.445b.svg</t>
  </si>
  <si>
    <t>https://commons.wikimedia.org/wiki/File:Vietnam_road_sign_I445b.svg</t>
  </si>
  <si>
    <t>502f812b503ec63614a802f91365db5f513ac4c7a367ef7cb230f4f34fc6c73d</t>
  </si>
  <si>
    <t>00002fb3ae2c0000</t>
  </si>
  <si>
    <t>https://commons.wikimedia.org/w/index.php?search=Vietnam%20road%20sign%20I445b&amp;title=Special:MediaSearch&amp;type=image</t>
  </si>
  <si>
    <t>I.445c</t>
  </si>
  <si>
    <t>Biển báo đoạn đường sương mù, tầm nhìn hạn chế phải đi chậm, tập trung quan sát</t>
  </si>
  <si>
    <t>04_bien_chi_dan/I.445c.svg</t>
  </si>
  <si>
    <t>https://commons.wikimedia.org/wiki/File:Vietnam_road_sign_I445c.svg</t>
  </si>
  <si>
    <t>163d67e1da6536a232be35a75268a5437ddd1d2b87a69070472d6ab92dafdcac</t>
  </si>
  <si>
    <t>00004ceeae2c0000</t>
  </si>
  <si>
    <t>https://commons.wikimedia.org/w/index.php?search=Vietnam%20road%20sign%20I445c&amp;title=Special:MediaSearch&amp;type=image</t>
  </si>
  <si>
    <t>I.445d</t>
  </si>
  <si>
    <t>Biển báo đoạn đường có nền đường yếu</t>
  </si>
  <si>
    <t>04_bien_chi_dan/I.445d.svg</t>
  </si>
  <si>
    <t>https://commons.wikimedia.org/wiki/File:Vietnam_road_sign_I445d.svg</t>
  </si>
  <si>
    <t>18367b5f2b7e5ed51ff2bcee894853e2017d85ebdcb1ec393d7f5b90f58300cb</t>
  </si>
  <si>
    <t>00004e4c9e2c0000</t>
  </si>
  <si>
    <t>https://commons.wikimedia.org/w/index.php?search=Vietnam%20road%20sign%20I445d&amp;title=Special:MediaSearch&amp;type=image</t>
  </si>
  <si>
    <t>I.445e</t>
  </si>
  <si>
    <t>Biển báo xe lớn hoặc quá khổ đi sát về bên phải</t>
  </si>
  <si>
    <t>04_bien_chi_dan/I.445e.svg</t>
  </si>
  <si>
    <t>https://commons.wikimedia.org/wiki/File:Vietnam_road_sign_I445e.svg</t>
  </si>
  <si>
    <t>043df451d3c81bc48c6a39a933e9821eefa79f6b9c265b29f74a6cbbd3b50b1c</t>
  </si>
  <si>
    <t>00006c6f4c2c0000</t>
  </si>
  <si>
    <t>https://commons.wikimedia.org/w/index.php?search=Vietnam%20road%20sign%20I445e&amp;title=Special:MediaSearch&amp;type=image</t>
  </si>
  <si>
    <t>I.445f</t>
  </si>
  <si>
    <t>Biển báo chú ý khu vực có gió ngang mạnh</t>
  </si>
  <si>
    <t>04_bien_chi_dan/I.445f.svg</t>
  </si>
  <si>
    <t>https://commons.wikimedia.org/wiki/File:Vietnam_road_sign_I445f.svg</t>
  </si>
  <si>
    <t>c8e3124616a8ca82059614424b7f604d2c07022693d72ed7b2e93a3e6a47efd3</t>
  </si>
  <si>
    <t>00004cceec4c0000</t>
  </si>
  <si>
    <t>https://commons.wikimedia.org/w/index.php?search=Vietnam%20road%20sign%20I445f&amp;title=Special:MediaSearch&amp;type=image</t>
  </si>
  <si>
    <t>I.445g</t>
  </si>
  <si>
    <t>Biển báo đoạn đường nguy hiểm hay xảy ra tai nạn</t>
  </si>
  <si>
    <t>04_bien_chi_dan/I.445g.svg</t>
  </si>
  <si>
    <t>https://commons.wikimedia.org/wiki/File:Vietnam_road_sign_I445g.svg</t>
  </si>
  <si>
    <t>b3d1f83945e4b8737cd63a315809ec1dfcc6fe8f09d3e925bc4aafccfd8f89c2</t>
  </si>
  <si>
    <t>00000eac4c4e0000</t>
  </si>
  <si>
    <t>https://commons.wikimedia.org/w/index.php?search=Vietnam%20road%20sign%20I445g&amp;title=Special:MediaSearch&amp;type=image</t>
  </si>
  <si>
    <t>I.445h</t>
  </si>
  <si>
    <t>Biển báo đường xuống dốc liên tục</t>
  </si>
  <si>
    <t>04_bien_chi_dan/I.445h.svg</t>
  </si>
  <si>
    <t>https://commons.wikimedia.org/wiki/File:Vietnam_road_sign_I445h.svg</t>
  </si>
  <si>
    <t>93338b8718144da4cc2a07a4fa599d2fa1690a0c6591448dc95e62bdfa7ab3e8</t>
  </si>
  <si>
    <t>00002cafae2c0000</t>
  </si>
  <si>
    <t>https://commons.wikimedia.org/w/index.php?search=Vietnam%20road%20sign%20I445h&amp;title=Special:MediaSearch&amp;type=image</t>
  </si>
  <si>
    <t>I.446</t>
  </si>
  <si>
    <t>Nơi đỗ xe dành cho người khuyết tật</t>
  </si>
  <si>
    <t>04_bien_chi_dan/I.446.svg</t>
  </si>
  <si>
    <t>https://commons.wikimedia.org/wiki/File:Vietnam_road_sign_I446.svg</t>
  </si>
  <si>
    <t>63a3799e222336f3da06736e1862555f452d13c3e3a64a760c8a38c2177a34a2</t>
  </si>
  <si>
    <t>39e64a6a38795959</t>
  </si>
  <si>
    <t>https://commons.wikimedia.org/w/index.php?search=Vietnam%20road%20sign%20I446&amp;title=Special:MediaSearch&amp;type=image</t>
  </si>
  <si>
    <t>I.447a</t>
  </si>
  <si>
    <t>I.447</t>
  </si>
  <si>
    <t>Cầu vượt liên thông</t>
  </si>
  <si>
    <t>04_bien_chi_dan/I.447a.svg</t>
  </si>
  <si>
    <t>https://commons.wikimedia.org/wiki/File:Vietnam_road_sign_I447a.svg</t>
  </si>
  <si>
    <t>909f3ddca9cfa4659a58b8500465b1c75c61b386734571e772d1e2b6a82dc77c</t>
  </si>
  <si>
    <t>000d73f0f8680300</t>
  </si>
  <si>
    <t>https://commons.wikimedia.org/w/index.php?search=Vietnam%20road%20sign%20I447a&amp;title=Special:MediaSearch&amp;type=image</t>
  </si>
  <si>
    <t>I.447b</t>
  </si>
  <si>
    <t>04_bien_chi_dan/I.447b.svg</t>
  </si>
  <si>
    <t>https://commons.wikimedia.org/wiki/File:Vietnam_road_sign_I447b.svg</t>
  </si>
  <si>
    <t>f67341b63586347d4e3d77ea19f1d74a3c6f35484f408c66c343a7e3ac7248a5</t>
  </si>
  <si>
    <t>004d53b0f4680300</t>
  </si>
  <si>
    <t>https://commons.wikimedia.org/w/index.php?search=Vietnam%20road%20sign%20I447b&amp;title=Special:MediaSearch&amp;type=image</t>
  </si>
  <si>
    <t>I.447c</t>
  </si>
  <si>
    <t>04_bien_chi_dan/I.447c.svg</t>
  </si>
  <si>
    <t>https://commons.wikimedia.org/wiki/File:Vietnam_road_sign_I447c.svg</t>
  </si>
  <si>
    <t>cdeb3177865517a6455e9138b3305220a32c0ee6081c8716ad0ef48db0b3a8db</t>
  </si>
  <si>
    <t>https://commons.wikimedia.org/w/index.php?search=Vietnam%20road%20sign%20I447c&amp;title=Special:MediaSearch&amp;type=image</t>
  </si>
  <si>
    <t>I.447d</t>
  </si>
  <si>
    <t>04_bien_chi_dan/I.447d.svg</t>
  </si>
  <si>
    <t>https://commons.wikimedia.org/wiki/File:Vietnam_road_sign_I447d.svg</t>
  </si>
  <si>
    <t>ffcf6efaa5ca0d5f2592e5386ca69dc0c9f71691138c000298a66a95f1a7f168</t>
  </si>
  <si>
    <t>00455bd868680300</t>
  </si>
  <si>
    <t>https://commons.wikimedia.org/w/index.php?search=Vietnam%20road%20sign%20I447d&amp;title=Special:MediaSearch&amp;type=image</t>
  </si>
  <si>
    <t>I.448</t>
  </si>
  <si>
    <t>Làn đường cứu nạn hay làn thoát xe khẩn cấp</t>
  </si>
  <si>
    <t>04_bien_chi_dan/I.448.svg</t>
  </si>
  <si>
    <t>https://commons.wikimedia.org/wiki/File:Vietnam_road_sign_I448.svg</t>
  </si>
  <si>
    <t>da20cdd84ffb760a0d52655c4b657242c5fa6675da04e41b416c2e49bdc2398e</t>
  </si>
  <si>
    <t>I.448-1</t>
  </si>
  <si>
    <t>04_bien_chi_dan/I.448-1.svg</t>
  </si>
  <si>
    <t>https://commons.wikimedia.org/wiki/File:Vietnam_road_sign_I448_1_(QCVN_41-2019-BGTVT).svg</t>
  </si>
  <si>
    <t>5c068f9e812cf12675dcb7b46b0f95602d45e57382f49f7453512507ef2c82eb</t>
  </si>
  <si>
    <t>I.448-2</t>
  </si>
  <si>
    <t>04_bien_chi_dan/I.448-2.svg</t>
  </si>
  <si>
    <t>https://commons.wikimedia.org/wiki/File:Vietnam_road_sign_I448_2_(QCVN_41-2019-BGTVT).svg</t>
  </si>
  <si>
    <t>2f11cdf960c551cca2142102d909c4ecaa61a32dd991d6e7058e52b9fd03d7a8</t>
  </si>
  <si>
    <t>I.448-3</t>
  </si>
  <si>
    <t>04_bien_chi_dan/I.448-3.svg</t>
  </si>
  <si>
    <t>https://commons.wikimedia.org/wiki/File:Vietnam_road_sign_I448_3_(QCVN_41-2019-BGTVT).svg</t>
  </si>
  <si>
    <t>6abf4ed995db983a5c5815732eef500edd1e9e1e6c62a554d54b51cddb09b15c</t>
  </si>
  <si>
    <t>I.448-4</t>
  </si>
  <si>
    <t>04_bien_chi_dan/I.448-4.svg</t>
  </si>
  <si>
    <t>https://commons.wikimedia.org/wiki/File:Vietnam_road_sign_I448_4_(QCVN_41-2019-BGTVT).svg</t>
  </si>
  <si>
    <t>ffc6afa392599b5554d5423d0be81151bdd3558005dba1bef6e2e68843eafcf8</t>
  </si>
  <si>
    <t>I.449</t>
  </si>
  <si>
    <t>Biển tên đường</t>
  </si>
  <si>
    <t>04_bien_chi_dan/I.449.svg</t>
  </si>
  <si>
    <t>https://commons.wikimedia.org/wiki/File:Vietnam_road_sign_I449.svg</t>
  </si>
  <si>
    <t>34b57eedd693e36d858048c841bfeca68e7e4a901e265e2f5974f70498f01944</t>
  </si>
  <si>
    <t>0041059c82050100</t>
  </si>
  <si>
    <t>https://commons.wikimedia.org/w/index.php?search=Vietnam%20road%20sign%20I449&amp;title=Special:MediaSearch&amp;type=image</t>
  </si>
  <si>
    <t>S.501</t>
  </si>
  <si>
    <t>Phạm vi tác dụng của biển</t>
  </si>
  <si>
    <t>05_bien_phu/S.501.svg</t>
  </si>
  <si>
    <t>https://commons.wikimedia.org/wiki/File:Vietnam_road_sign_S501.svg</t>
  </si>
  <si>
    <t>555aa733f8d07b7191290e5592133549904ca1763d5e38c76822a369b10f3b66</t>
  </si>
  <si>
    <t>0001f08c8cf00300</t>
  </si>
  <si>
    <t>https://commons.wikimedia.org/w/index.php?search=Vietnam%20road%20sign%20S501&amp;title=Special:MediaSearch&amp;type=image</t>
  </si>
  <si>
    <t>S.502</t>
  </si>
  <si>
    <t>Khoảng cách đến đối tượng báo hiệu</t>
  </si>
  <si>
    <t>05_bien_phu/S.502.svg</t>
  </si>
  <si>
    <t>https://commons.wikimedia.org/wiki/File:Vietnam_road_sign_S502.svg</t>
  </si>
  <si>
    <t>ce6b31fbbaf545bf7a6ccf86934a1df30580c2dea85d70246631852c319d5aa4</t>
  </si>
  <si>
    <t>0090a22727cab000</t>
  </si>
  <si>
    <t>https://commons.wikimedia.org/w/index.php?search=Vietnam%20road%20sign%20S502&amp;title=Special:MediaSearch&amp;type=image</t>
  </si>
  <si>
    <t>S.503a</t>
  </si>
  <si>
    <t>S.503</t>
  </si>
  <si>
    <t>Hướng tác dụng của biển</t>
  </si>
  <si>
    <t>05_bien_phu/S.503a.svg</t>
  </si>
  <si>
    <t>https://commons.wikimedia.org/wiki/File:Vietnam_road_sign_S503a.svg</t>
  </si>
  <si>
    <t>a1959f79e51ab959042aca7eef58db3de0cf42fd6a14b276170664c0ef2c0a5e</t>
  </si>
  <si>
    <t>0000c023b3c00000</t>
  </si>
  <si>
    <t>https://commons.wikimedia.org/w/index.php?search=Vietnam%20road%20sign%20S503a&amp;title=Special:MediaSearch&amp;type=image</t>
  </si>
  <si>
    <t>S.503b</t>
  </si>
  <si>
    <t>05_bien_phu/S.503b.svg</t>
  </si>
  <si>
    <t>https://commons.wikimedia.org/wiki/File:Vietnam_road_sign_S503b.svg</t>
  </si>
  <si>
    <t>c89acf2452d2de9f44749439713a24c6d737ce5ad5251e1c677a0ea01c68e393</t>
  </si>
  <si>
    <t>0000c422b2c40000</t>
  </si>
  <si>
    <t>https://commons.wikimedia.org/w/index.php?search=Vietnam%20road%20sign%20S503b&amp;title=Special:MediaSearch&amp;type=image</t>
  </si>
  <si>
    <t>S.503c</t>
  </si>
  <si>
    <t>05_bien_phu/S.503c.svg</t>
  </si>
  <si>
    <t>https://commons.wikimedia.org/wiki/File:Vietnam_road_sign_S503c.svg</t>
  </si>
  <si>
    <t>6f161ef896c144d5c00545bd6e03e96532e476f791555ec72b4c24b311350d14</t>
  </si>
  <si>
    <t>0000c42222c40000</t>
  </si>
  <si>
    <t>https://commons.wikimedia.org/w/index.php?search=Vietnam%20road%20sign%20S503c&amp;title=Special:MediaSearch&amp;type=image</t>
  </si>
  <si>
    <t>S.503d</t>
  </si>
  <si>
    <t>05_bien_phu/S.503d.svg</t>
  </si>
  <si>
    <t>https://commons.wikimedia.org/wiki/File:Vietnam_road_sign_S503d.svg</t>
  </si>
  <si>
    <t>e3938e4addcb22b328c0de270cee777a498f6d50d7ac402d43ee52affe496245</t>
  </si>
  <si>
    <t>162a0e2a2a2a2a16</t>
  </si>
  <si>
    <t>https://commons.wikimedia.org/w/index.php?search=Vietnam%20road%20sign%20S503d&amp;title=Special:MediaSearch&amp;type=image</t>
  </si>
  <si>
    <t>S.503e</t>
  </si>
  <si>
    <t>05_bien_phu/S.503e.svg</t>
  </si>
  <si>
    <t>https://commons.wikimedia.org/wiki/File:Vietnam_road_sign_S503e.svg</t>
  </si>
  <si>
    <t>6bbd8e7a80ad3089c8a0dab16329f545eb35350c3b2b3c3a36dc0a7ad83fabba</t>
  </si>
  <si>
    <t>162a0e2a2a0e2a16</t>
  </si>
  <si>
    <t>https://commons.wikimedia.org/w/index.php?search=Vietnam%20road%20sign%20S503e&amp;title=Special:MediaSearch&amp;type=image</t>
  </si>
  <si>
    <t>S.503f</t>
  </si>
  <si>
    <t>05_bien_phu/S.503f.svg</t>
  </si>
  <si>
    <t>https://commons.wikimedia.org/wiki/File:Vietnam_road_sign_S503f.svg</t>
  </si>
  <si>
    <t>b538fbb308153605ae3eec87e1fa673dc079bee5ef53374427833916bab18ad0</t>
  </si>
  <si>
    <t>162a2a2a2a0e2a16</t>
  </si>
  <si>
    <t>https://commons.wikimedia.org/w/index.php?search=Vietnam%20road%20sign%20S503f&amp;title=Special:MediaSearch&amp;type=image</t>
  </si>
  <si>
    <t>S.504</t>
  </si>
  <si>
    <t>Làn đường</t>
  </si>
  <si>
    <t>05_bien_phu/S.504.svg</t>
  </si>
  <si>
    <t>https://commons.wikimedia.org/wiki/File:Vietnam_road_sign_S504.svg</t>
  </si>
  <si>
    <t>ec6f83674c267dd346f379419b607d7d310662aa3d0b80ec8a3d301d41fa68e9</t>
  </si>
  <si>
    <t>00b08c8c8e8ecc00</t>
  </si>
  <si>
    <t>https://commons.wikimedia.org/w/index.php?search=Vietnam%20road%20sign%20S504&amp;title=Special:MediaSearch&amp;type=image</t>
  </si>
  <si>
    <t>S.505a</t>
  </si>
  <si>
    <t>Loại xe</t>
  </si>
  <si>
    <t>05_bien_phu/S.505a.svg</t>
  </si>
  <si>
    <t>https://commons.wikimedia.org/wiki/File:Vietnam_road_sign_S505a.svg</t>
  </si>
  <si>
    <t>cee51841c1a0f9413505ce8256df37d1fb84715f97fa745c3c5996cda3fec5f3</t>
  </si>
  <si>
    <t>00ccb2320e8cc000</t>
  </si>
  <si>
    <t>https://commons.wikimedia.org/w/index.php?search=Vietnam%20road%20sign%20S505a&amp;title=Special:MediaSearch&amp;type=image</t>
  </si>
  <si>
    <t>S.505b</t>
  </si>
  <si>
    <t>Loại xe hạn chế qua cầu</t>
  </si>
  <si>
    <t>05_bien_phu/S.505b.svg</t>
  </si>
  <si>
    <t>https://commons.wikimedia.org/wiki/File:Vietnam_road_sign_S505b.svg</t>
  </si>
  <si>
    <t>c1dc946ebc4a19a52cd2fac0b770e8be3e7dbd045ccb759c36da43e408157d9a</t>
  </si>
  <si>
    <t>a92be0272fa03332</t>
  </si>
  <si>
    <t>https://commons.wikimedia.org/w/index.php?search=Vietnam%20road%20sign%20S505b&amp;title=Special:MediaSearch&amp;type=image</t>
  </si>
  <si>
    <t>S.505c</t>
  </si>
  <si>
    <t>Tải trọng trục hạn chế qua cầu</t>
  </si>
  <si>
    <t>05_bien_phu/S.505c.svg</t>
  </si>
  <si>
    <t>https://commons.wikimedia.org/wiki/File:Vietnam_road_sign_S505c.svg</t>
  </si>
  <si>
    <t>c0173451d71b35df3432b41aadc8ec0d275b81b055c4c7062b477d66c10c6725</t>
  </si>
  <si>
    <t>646bc86b99684b98</t>
  </si>
  <si>
    <t>File SVG trùng SHA-256 với mã: P.127a. Không đồng nghĩa hai mã là cùng biển. | User confirmed 2026-10-18: standalone; no parent code.</t>
  </si>
  <si>
    <t>https://commons.wikimedia.org/w/index.php?search=Vietnam%20road%20sign%20S505c&amp;title=Special:MediaSearch&amp;type=image</t>
  </si>
  <si>
    <t>S.506a</t>
  </si>
  <si>
    <t>S.506</t>
  </si>
  <si>
    <t>Hướng đường ưu tiên</t>
  </si>
  <si>
    <t>05_bien_phu/S.506a.svg</t>
  </si>
  <si>
    <t>https://commons.wikimedia.org/wiki/File:Vietnam_road_sign_S506a.svg</t>
  </si>
  <si>
    <t>7c2d647beddf25165d8e83761ec63c527e5cb830860a32677103690bca4d3413</t>
  </si>
  <si>
    <t>8c8c8ca4b0888888</t>
  </si>
  <si>
    <t>File SVG trùng SHA-256 với mã: P.127b. Không đồng nghĩa hai mã là cùng biển.</t>
  </si>
  <si>
    <t>https://commons.wikimedia.org/w/index.php?search=Vietnam%20road%20sign%20S506a&amp;title=Special:MediaSearch&amp;type=image</t>
  </si>
  <si>
    <t>S.506b</t>
  </si>
  <si>
    <t>05_bien_phu/S.506b.svg</t>
  </si>
  <si>
    <t>https://commons.wikimedia.org/wiki/File:Vietnam_road_sign_S506b.svg</t>
  </si>
  <si>
    <t>4909dd3b9d14e8c63e2feeeed342904ed280da6dc1c30a60380f96ce26d4d707</t>
  </si>
  <si>
    <t>888888b0a48c8c8c</t>
  </si>
  <si>
    <t>File SVG trùng SHA-256 với mã: P.127c. Không đồng nghĩa hai mã là cùng biển.</t>
  </si>
  <si>
    <t>https://commons.wikimedia.org/w/index.php?search=Vietnam%20road%20sign%20S506b&amp;title=Special:MediaSearch&amp;type=image</t>
  </si>
  <si>
    <t>S.507</t>
  </si>
  <si>
    <t>Hướng rẽ</t>
  </si>
  <si>
    <t>05_bien_phu/S.507.svg</t>
  </si>
  <si>
    <t>https://commons.wikimedia.org/wiki/File:Vietnam_road_sign_S507.svg</t>
  </si>
  <si>
    <t>23a8906b6e834a8f637a94f0004046c21153ddb1bc87f0391a3a4f5960a6978c</t>
  </si>
  <si>
    <t>0000a5d4d4a50000</t>
  </si>
  <si>
    <t>File SVG trùng SHA-256 với mã: P.133. Không đồng nghĩa hai mã là cùng biển.</t>
  </si>
  <si>
    <t>https://commons.wikimedia.org/w/index.php?search=Vietnam%20road%20sign%20S507&amp;title=Special:MediaSearch&amp;type=image</t>
  </si>
  <si>
    <t>S.508a</t>
  </si>
  <si>
    <t>S.508</t>
  </si>
  <si>
    <t>Biểu thị thời gian</t>
  </si>
  <si>
    <t>05_bien_phu/S.508a.svg</t>
  </si>
  <si>
    <t>https://commons.wikimedia.org/wiki/File:Vietnam_road_sign_S508a.svg</t>
  </si>
  <si>
    <t>7dead7007ab6714f44965c46eed7a13e507ec756c72caa9b24f33c371dbceefe</t>
  </si>
  <si>
    <t>0000a85655a80000</t>
  </si>
  <si>
    <t>File SVG trùng SHA-256 với mã: P.134. Không đồng nghĩa hai mã là cùng biển.</t>
  </si>
  <si>
    <t>https://commons.wikimedia.org/w/index.php?search=Vietnam%20road%20sign%20S508a&amp;title=Special:MediaSearch&amp;type=image</t>
  </si>
  <si>
    <t>S.508b</t>
  </si>
  <si>
    <t>05_bien_phu/S.508b.svg</t>
  </si>
  <si>
    <t>https://commons.wikimedia.org/wiki/File:Vietnam_road_sign_S508b.svg</t>
  </si>
  <si>
    <t>3b191797bb06378215ac37a92990ba09a04eff41a69bc83a5566a2da2c52c8cd</t>
  </si>
  <si>
    <t>00a855545657a800</t>
  </si>
  <si>
    <t>File SVG trùng SHA-256 với mã: P.135. Không đồng nghĩa hai mã là cùng biển.</t>
  </si>
  <si>
    <t>https://commons.wikimedia.org/w/index.php?search=Vietnam%20road%20sign%20S508b&amp;title=Special:MediaSearch&amp;type=image</t>
  </si>
  <si>
    <t>S.509a</t>
  </si>
  <si>
    <t>S.509</t>
  </si>
  <si>
    <t>Chiều cao an toàn</t>
  </si>
  <si>
    <t>05_bien_phu/S.509a.svg</t>
  </si>
  <si>
    <t>https://commons.wikimedia.org/wiki/File:Vietnam_road_sign_S509a.svg</t>
  </si>
  <si>
    <t>30780af0098542a077f9e3ea18744a63be0bdd97b6e31fe66802d7c225dee3f4</t>
  </si>
  <si>
    <t>612369c4d59c1969</t>
  </si>
  <si>
    <t>https://commons.wikimedia.org/w/index.php?search=Vietnam%20road%20sign%20S509a&amp;title=Special:MediaSearch&amp;type=image</t>
  </si>
  <si>
    <t>S.509b</t>
  </si>
  <si>
    <t>05_bien_phu/S.509b.svg</t>
  </si>
  <si>
    <t>https://commons.wikimedia.org/wiki/File:Vietnam_road_sign_S509b.svg</t>
  </si>
  <si>
    <t>501a9f9ca0b689c67b7ec4d1f48b6d17dec7c0582c69e6f52e045693b7b6e71b</t>
  </si>
  <si>
    <t>004141fcec6d0100</t>
  </si>
  <si>
    <t>https://commons.wikimedia.org/w/index.php?search=Vietnam%20road%20sign%20S509b&amp;title=Special:MediaSearch&amp;type=image</t>
  </si>
  <si>
    <t>S.510a</t>
  </si>
  <si>
    <t>null</t>
  </si>
  <si>
    <t>Chú ý đường trơn có băng tuyết</t>
  </si>
  <si>
    <t>05_bien_phu/S.510a.svg</t>
  </si>
  <si>
    <t>https://commons.wikimedia.org/wiki/File:Vietnam_road_sign_S510.svg</t>
  </si>
  <si>
    <t>8019786dbdbce6b9ff73187d1c71744c2dcc318ac523d7973a4bdae136cc0397</t>
  </si>
  <si>
    <t>S.510b</t>
  </si>
  <si>
    <t>Chú ý đường sắt</t>
  </si>
  <si>
    <t>05_bien_phu/S.510b.svg</t>
  </si>
  <si>
    <t>https://commons.wikimedia.org/wiki/File:Vietnam_road_sign_S510b.svg</t>
  </si>
  <si>
    <t>49e86b592a5a54d4f0174bc06fe666af3989d2f8f81b504e7ed156287fdd7d12</t>
  </si>
  <si>
    <t>000045a5a5650000</t>
  </si>
  <si>
    <t>https://commons.wikimedia.org/w/index.php?search=Vietnam%20road%20sign%20S510b&amp;title=Special:MediaSearch&amp;type=image</t>
  </si>
  <si>
    <t>DP.127a</t>
  </si>
  <si>
    <t>DP.127</t>
  </si>
  <si>
    <t>Biển hết tốc độ tối đa cho phép theo biển ghép</t>
  </si>
  <si>
    <t>06_bien_het_cam/DP.127a.svg</t>
  </si>
  <si>
    <t>https://commons.wikimedia.org/wiki/File:Vietnam_road_sign_DP127a.svg</t>
  </si>
  <si>
    <t>https://commons.wikimedia.org/w/index.php?search=Vietnam%20road%20sign%20DP127a&amp;title=Special:MediaSearch&amp;type=image</t>
  </si>
  <si>
    <t>DP.127b</t>
  </si>
  <si>
    <t>06_bien_het_cam/DP.127b.svg</t>
  </si>
  <si>
    <t>https://commons.wikimedia.org/wiki/File:Vietnam_road_sign_DP127b.svg</t>
  </si>
  <si>
    <t>https://commons.wikimedia.org/w/index.php?search=Vietnam%20road%20sign%20DP127b&amp;title=Special:MediaSearch&amp;type=image</t>
  </si>
  <si>
    <t>DP.127c</t>
  </si>
  <si>
    <t>06_bien_het_cam/DP.127c.svg</t>
  </si>
  <si>
    <t>https://commons.wikimedia.org/wiki/File:Vietnam_road_sign_DP127c.svg</t>
  </si>
  <si>
    <t>https://commons.wikimedia.org/w/index.php?search=Vietnam%20road%20sign%20DP127c&amp;title=Special:MediaSearch&amp;type=image</t>
  </si>
  <si>
    <t>06_bien_het_cam/DP.133.svg</t>
  </si>
  <si>
    <t>https://commons.wikimedia.org/wiki/File:Vietnam_road_sign_P.133_(QCVN_41-2024-BGTVT).svg</t>
  </si>
  <si>
    <t>4d1541449a94a1ff710922034c86a6cac46e74bd3a6199ef6979a7a29cd633e2</t>
  </si>
  <si>
    <t>1761c2969eb87117</t>
  </si>
  <si>
    <t>https://commons.wikimedia.org/w/index.php?search=Vietnam%20road%20sign%20DP133&amp;title=Special:MediaSearch&amp;type=image</t>
  </si>
  <si>
    <t>06_bien_het_cam/DP.134.svg</t>
  </si>
  <si>
    <t>https://commons.wikimedia.org/wiki/File:Vietnam_road_sign_P.134_(QCVN_41-2024-BGTVT).svg</t>
  </si>
  <si>
    <t>e5926f79f9dd18d88a23b6d42b077d5879742de81ab3a6f9ccbb6ac494527ad6</t>
  </si>
  <si>
    <t>177196869a967117</t>
  </si>
  <si>
    <t>https://commons.wikimedia.org/w/index.php?search=Vietnam%20road%20sign%20DP134&amp;title=Special:MediaSearch&amp;type=image</t>
  </si>
  <si>
    <t>06_bien_het_cam/DP.135.svg</t>
  </si>
  <si>
    <t>3ce8bf6ea4b7b40ee414a9d9902e80ce1a52d531ba220a7b9472b4367b6d5a40</t>
  </si>
  <si>
    <t>1761c2869cb87117</t>
  </si>
  <si>
    <t>https://commons.wikimedia.org/w/index.php?search=Vietnam%20road%20sign%20DP135&amp;title=Special:MediaSearch&amp;type=image</t>
  </si>
  <si>
    <t>IE.450a</t>
  </si>
  <si>
    <t>IE.450</t>
  </si>
  <si>
    <t>Khoảng cách đến nút giao với đường dẫn vào đường cao tốc</t>
  </si>
  <si>
    <t>07_bien_cao_toc/IE.450a.svg</t>
  </si>
  <si>
    <t>https://commons.wikimedia.org/wiki/File:Vietnam_road_sign_IE450a.svg</t>
  </si>
  <si>
    <t>6d654e3bf4f9a573cb722bc141aa0196bc167d23d30f9843ae78e0282a0bbeaf</t>
  </si>
  <si>
    <t>004743aaca464d00</t>
  </si>
  <si>
    <t>https://commons.wikimedia.org/w/index.php?search=Vietnam%20road%20sign%20IE450a&amp;title=Special:MediaSearch&amp;type=image</t>
  </si>
  <si>
    <t>IE.450b</t>
  </si>
  <si>
    <t>Sơ đồ đến đường dẫn vào đường cao tốc</t>
  </si>
  <si>
    <t>07_bien_cao_toc/IE.450b.svg</t>
  </si>
  <si>
    <t>https://commons.wikimedia.org/wiki/File:Vietnam_road_sign_IE450b.svg</t>
  </si>
  <si>
    <t>8a53d11f48628f97523c9f20b554ab14a24a696055fc7c49267fc95c917a3830</t>
  </si>
  <si>
    <t>004123aace4e0d00</t>
  </si>
  <si>
    <t>https://commons.wikimedia.org/w/index.php?search=Vietnam%20road%20sign%20IE450b&amp;title=Special:MediaSearch&amp;type=image</t>
  </si>
  <si>
    <t>IE.451a</t>
  </si>
  <si>
    <t>IE.451</t>
  </si>
  <si>
    <t>Khoảng cách đến lối vào đường cao tốc, được đặt trên đường dẫn vào đường cao tốc</t>
  </si>
  <si>
    <t>07_bien_cao_toc/IE.451a.svg</t>
  </si>
  <si>
    <t>https://commons.wikimedia.org/wiki/File:Vietnam_road_sign_IE451a.svg</t>
  </si>
  <si>
    <t>0744b99cd9344879c329bc72a9ad228e58f6b45d5b700b94f0a0fccedcdf6bee</t>
  </si>
  <si>
    <t>006c8c6c32226100</t>
  </si>
  <si>
    <t>https://commons.wikimedia.org/w/index.php?search=Vietnam%20road%20sign%20IE451a&amp;title=Special:MediaSearch&amp;type=image</t>
  </si>
  <si>
    <t>IE.451b</t>
  </si>
  <si>
    <t>Lối vào đường cao tốc</t>
  </si>
  <si>
    <t>07_bien_cao_toc/IE.451b.svg</t>
  </si>
  <si>
    <t>https://commons.wikimedia.org/wiki/File:Vietnam_road_sign_IE451b.svg</t>
  </si>
  <si>
    <t>4bb4e4c4a2e49942374ee45fcf48b876ebd746624ac98a665bcceb511a1204a5</t>
  </si>
  <si>
    <t>0031717132226100</t>
  </si>
  <si>
    <t>https://commons.wikimedia.org/w/index.php?search=Vietnam%20road%20sign%20IE451b&amp;title=Special:MediaSearch&amp;type=image</t>
  </si>
  <si>
    <t>IE.452</t>
  </si>
  <si>
    <t>Bắt đầu đường cao tốc</t>
  </si>
  <si>
    <t>07_bien_cao_toc/IE.452.svg</t>
  </si>
  <si>
    <t>https://commons.wikimedia.org/wiki/File:Vietnam_road_sign_IE452.svg</t>
  </si>
  <si>
    <t>f9c7cfe8f3f0908b1c839bf3fa687078e615a03c7dbaf821bebfac53d85eb27e</t>
  </si>
  <si>
    <t>00194d7932226100</t>
  </si>
  <si>
    <t>https://commons.wikimedia.org/w/index.php?search=Vietnam%20road%20sign%20IE452&amp;title=Special:MediaSearch&amp;type=image</t>
  </si>
  <si>
    <t>IE.453a</t>
  </si>
  <si>
    <t>IE.453</t>
  </si>
  <si>
    <t>Khoảng cách đến điểm kết thúc đường cao tốc</t>
  </si>
  <si>
    <t>07_bien_cao_toc/IE.453a.svg</t>
  </si>
  <si>
    <t>https://commons.wikimedia.org/wiki/File:Vietnam_road_sign_IE453a.svg</t>
  </si>
  <si>
    <t>6fdf49a2813bac874f371527c6aef3207e434c259c44c10e2c57d319d7e5c857</t>
  </si>
  <si>
    <t>00639b2932226100</t>
  </si>
  <si>
    <t>Chưa cô lập được phần mô tả tương ứng trong Markdown; trường mo_ta vẫn là trích đoạn cũ và có thể lẫn biển khác. | image_required=null: chưa xác minh mã có cần hình độc lập. | Bản ghi JSON gốc được đánh dấu review_required.</t>
  </si>
  <si>
    <t>https://commons.wikimedia.org/w/index.php?search=Vietnam%20road%20sign%20IE453a&amp;title=Special:MediaSearch&amp;type=image</t>
  </si>
  <si>
    <t>IE.453b</t>
  </si>
  <si>
    <t>Điểm kết thúc đường cao tốc</t>
  </si>
  <si>
    <t>07_bien_cao_toc/IE.453b.svg</t>
  </si>
  <si>
    <t>https://commons.wikimedia.org/wiki/File:Vietnam_road_sign_IE453b.svg</t>
  </si>
  <si>
    <t>c5c3342af41294b5db535bc4a7caf1e02b9384b28a193fd3cec51ac7d19fdb3d</t>
  </si>
  <si>
    <t>0011716932226100</t>
  </si>
  <si>
    <t>https://commons.wikimedia.org/w/index.php?search=Vietnam%20road%20sign%20IE453b&amp;title=Special:MediaSearch&amp;type=image</t>
  </si>
  <si>
    <t>IE.453c</t>
  </si>
  <si>
    <t>Hết đường cao tốc</t>
  </si>
  <si>
    <t>07_bien_cao_toc/IE.453c.svg</t>
  </si>
  <si>
    <t>https://commons.wikimedia.org/wiki/File:Vietnam_road_sign_IE453c.svg</t>
  </si>
  <si>
    <t>f54c834b880bd9a6c51d3b513b6d34a7362df580c7f90e5791b7cbc589bf453d</t>
  </si>
  <si>
    <t>2b6b632b2b113333</t>
  </si>
  <si>
    <t>https://commons.wikimedia.org/w/index.php?search=Vietnam%20road%20sign%20IE453c&amp;title=Special:MediaSearch&amp;type=image</t>
  </si>
  <si>
    <t>IE.454</t>
  </si>
  <si>
    <t>Khoảng cách đến lối ra phía trước</t>
  </si>
  <si>
    <t>07_bien_cao_toc/IE.454.svg</t>
  </si>
  <si>
    <t>https://commons.wikimedia.org/wiki/File:Vietnam_road_sign_IE454.svg</t>
  </si>
  <si>
    <t>e91dc5f1c3ec74403e88c5efa6cb4dca152d7c9f14bbcbe9a21e5fbdbb04c351</t>
  </si>
  <si>
    <t>0001d3f765364600</t>
  </si>
  <si>
    <t>https://commons.wikimedia.org/w/index.php?search=Vietnam%20road%20sign%20IE454&amp;title=Special:MediaSearch&amp;type=image</t>
  </si>
  <si>
    <t>IE.455</t>
  </si>
  <si>
    <t>Khoảng cách đến các lối ra tiếp theo</t>
  </si>
  <si>
    <t>07_bien_cao_toc/IE.455.svg</t>
  </si>
  <si>
    <t>https://commons.wikimedia.org/wiki/File:Vietnam_road_sign_IE455.svg</t>
  </si>
  <si>
    <t>ca49a50a93190afd42ac0e92d99214026bf8bf4238e018a991d1bc1dd0c65d1a</t>
  </si>
  <si>
    <t>004d365614962e00</t>
  </si>
  <si>
    <t>https://commons.wikimedia.org/w/index.php?search=Vietnam%20road%20sign%20IE455&amp;title=Special:MediaSearch&amp;type=image</t>
  </si>
  <si>
    <t>IE.456a</t>
  </si>
  <si>
    <t>IE.456</t>
  </si>
  <si>
    <t>Khoảng cách đến trạm dừng nghỉ</t>
  </si>
  <si>
    <t>07_bien_cao_toc/IE.456a.svg</t>
  </si>
  <si>
    <t>https://commons.wikimedia.org/wiki/File:Vietnam_road_sign_IE456a.svg</t>
  </si>
  <si>
    <t>8dca1800902340acd0c65949972d430cc737e9ffb3a75ae3868d91b5752f419f</t>
  </si>
  <si>
    <t>047139a92bc9d125</t>
  </si>
  <si>
    <t>https://commons.wikimedia.org/w/index.php?search=Vietnam%20road%20sign%20IE456a&amp;title=Special:MediaSearch&amp;type=image</t>
  </si>
  <si>
    <t>IE.456b</t>
  </si>
  <si>
    <t>Hướng rẽ vào trạm dừng nghỉ, đặt cách nút giao vào trạm</t>
  </si>
  <si>
    <t>07_bien_cao_toc/IE.456b.svg</t>
  </si>
  <si>
    <t>https://commons.wikimedia.org/wiki/File:Vietnam_road_sign_IE456b.svg</t>
  </si>
  <si>
    <t>0b390456b45efe6db7c4d1260e331ff0e1cab0ee9582107ad19af685c93c21be</t>
  </si>
  <si>
    <t>087133a92bc9d125</t>
  </si>
  <si>
    <t>https://commons.wikimedia.org/w/index.php?search=Vietnam%20road%20sign%20IE456b&amp;title=Special:MediaSearch&amp;type=image</t>
  </si>
  <si>
    <t>IE.456c</t>
  </si>
  <si>
    <t>Lối vào trạm dừng nghỉ</t>
  </si>
  <si>
    <t>07_bien_cao_toc/IE.456c.svg</t>
  </si>
  <si>
    <t>https://commons.wikimedia.org/wiki/File:Vietnam_road_sign_IE456c.svg</t>
  </si>
  <si>
    <t>01d1de4374532fa4a6e80bf0b169a404fc600d619f531e0a64d91f13bc2efb14</t>
  </si>
  <si>
    <t>00a3a9abcdd92100</t>
  </si>
  <si>
    <t>Chưa cô lập được phần mô tả tương ứng trong Markdown; trường mo_ta vẫn là trích đoạn cũ và có thể lẫn biển khác. | Tên diễn giải từ tiêu đề mục 47.12/51.12 và chú thích hình (ghi rút gọn “chỉ dẫn khoảng cách”), không phải tên chính thức được trích nguyên văn. | image_required=null: chưa xác minh mã có cần hình độc lập. | Bản ghi JSON gốc được đánh dấu review_required.</t>
  </si>
  <si>
    <t>https://commons.wikimedia.org/w/index.php?search=Vietnam%20road%20sign%20IE456c&amp;title=Special:MediaSearch&amp;type=image</t>
  </si>
  <si>
    <t>IE.457a</t>
  </si>
  <si>
    <t>IE.457</t>
  </si>
  <si>
    <t>Khoảng cách đến nơi đỗ xe trong trạm dừng nghỉ</t>
  </si>
  <si>
    <t>07_bien_cao_toc/IE.457a.svg</t>
  </si>
  <si>
    <t>https://commons.wikimedia.org/wiki/File:Vietnam_road_sign_IE457a.svg</t>
  </si>
  <si>
    <t>0bec178bfbd10bb8860bc4fbc3f3b230d183d8e2b1254fa576fad96818ea0758</t>
  </si>
  <si>
    <t>23131b3b1b332333</t>
  </si>
  <si>
    <t>https://commons.wikimedia.org/w/index.php?search=Vietnam%20road%20sign%20IE457a&amp;title=Special:MediaSearch&amp;type=image</t>
  </si>
  <si>
    <t>IE.457b</t>
  </si>
  <si>
    <t>Hướng rẽ đến vị trí bãi đỗ xe trong trạm dừng nghỉ</t>
  </si>
  <si>
    <t>07_bien_cao_toc/IE.457b.svg</t>
  </si>
  <si>
    <t>https://commons.wikimedia.org/wiki/File:Vietnam_road_sign_IE457b.svg</t>
  </si>
  <si>
    <t>5e77722e4c614ff6f553b611a2068687016b5493ac63cd7ea5791e7a1fda4753</t>
  </si>
  <si>
    <t>2b3b33231b332333</t>
  </si>
  <si>
    <t>https://commons.wikimedia.org/w/index.php?search=Vietnam%20road%20sign%20IE457b&amp;title=Special:MediaSearch&amp;type=image</t>
  </si>
  <si>
    <t>IE.458</t>
  </si>
  <si>
    <t>Khoảng cách đến các trạm dừng nghỉ tiếp theo</t>
  </si>
  <si>
    <t>07_bien_cao_toc/IE.458.svg</t>
  </si>
  <si>
    <t>https://commons.wikimedia.org/wiki/File:Vietnam_road_sign_IE458.svg</t>
  </si>
  <si>
    <t>0703abc2f6bc51654141a80decec02493477c3c9df861525c8ed66b40f8557b8</t>
  </si>
  <si>
    <t>0006243634363c00</t>
  </si>
  <si>
    <t>https://commons.wikimedia.org/w/index.php?search=Vietnam%20road%20sign%20IE458&amp;title=Special:MediaSearch&amp;type=image</t>
  </si>
  <si>
    <t>IE.459a</t>
  </si>
  <si>
    <t>IE.459</t>
  </si>
  <si>
    <t>Khoảng cách đến khu tham quan, du lịch</t>
  </si>
  <si>
    <t>07_bien_cao_toc/IE.459a.svg</t>
  </si>
  <si>
    <t>https://commons.wikimedia.org/wiki/File:Vietnam_road_sign_IE459a.svg</t>
  </si>
  <si>
    <t>e837ac685676783f9dd27ebc863e3a11c5caa9551cb61b751c7bfe2d8c393e53</t>
  </si>
  <si>
    <t>006179594d573100</t>
  </si>
  <si>
    <t>https://commons.wikimedia.org/w/index.php?search=Vietnam%20road%20sign%20IE459a&amp;title=Special:MediaSearch&amp;type=image</t>
  </si>
  <si>
    <t>IE.459b</t>
  </si>
  <si>
    <t>Hướng rẽ vào khu tham quan, du lịch, đặt cách nút giao vào</t>
  </si>
  <si>
    <t>07_bien_cao_toc/IE.459b.svg</t>
  </si>
  <si>
    <t>https://commons.wikimedia.org/wiki/File:Vietnam_road_sign_IE459b.svg</t>
  </si>
  <si>
    <t>868664a68d2df3a5f126ea1178002d2bb335b1bce4fa26dc787f9129b8c1d5bb</t>
  </si>
  <si>
    <t>0013313549573100</t>
  </si>
  <si>
    <t>https://commons.wikimedia.org/w/index.php?search=Vietnam%20road%20sign%20IE459b&amp;title=Special:MediaSearch&amp;type=image</t>
  </si>
  <si>
    <t>IE.460a</t>
  </si>
  <si>
    <t>IE.460</t>
  </si>
  <si>
    <t>Cột kilômét</t>
  </si>
  <si>
    <t>07_bien_cao_toc/IE.460a.svg</t>
  </si>
  <si>
    <t>https://commons.wikimedia.org/wiki/File:Vietnam_road_sign_IE460a.svg</t>
  </si>
  <si>
    <t>3a886d94481f57116add19c52030fb375db47567155d3fc586412a24dcbbaa2b</t>
  </si>
  <si>
    <t>17173717170b0f17</t>
  </si>
  <si>
    <t>https://commons.wikimedia.org/w/index.php?search=Vietnam%20road%20sign%20IE460a&amp;title=Special:MediaSearch&amp;type=image</t>
  </si>
  <si>
    <t>IE.460b</t>
  </si>
  <si>
    <t>07_bien_cao_toc/IE.460b.svg</t>
  </si>
  <si>
    <t>https://commons.wikimedia.org/wiki/File:Vietnam_road_sign_IE460b.svg</t>
  </si>
  <si>
    <t>6525c6721c1690ab99ca925e94e955af3bad3c1b4b23a42d8c778cd639a4eb95</t>
  </si>
  <si>
    <t>1e16161616160e0e</t>
  </si>
  <si>
    <t>https://commons.wikimedia.org/w/index.php?search=Vietnam%20road%20sign%20IE460b&amp;title=Special:MediaSearch&amp;type=image</t>
  </si>
  <si>
    <t>IE.460c</t>
  </si>
  <si>
    <t>07_bien_cao_toc/IE.460c.svg</t>
  </si>
  <si>
    <t>https://commons.wikimedia.org/wiki/File:Vietnam_road_sign_IE460c.svg</t>
  </si>
  <si>
    <t>dea8feee669e28c49fe0a75058b31bf2c76f654e38d68caff5564c0f08df209e</t>
  </si>
  <si>
    <t>0c0c0c0c0c0c0c0c</t>
  </si>
  <si>
    <t>https://commons.wikimedia.org/w/index.php?search=Vietnam%20road%20sign%20IE460c&amp;title=Special:MediaSearch&amp;type=image</t>
  </si>
  <si>
    <t>IE.461a</t>
  </si>
  <si>
    <t>IE.461</t>
  </si>
  <si>
    <t>Khoảng cách đến khu dịch vụ công cộng, giải trí</t>
  </si>
  <si>
    <t>07_bien_cao_toc/IE.461a.svg</t>
  </si>
  <si>
    <t>https://commons.wikimedia.org/wiki/File:Vietnam_road_sign_IE461a.svg</t>
  </si>
  <si>
    <t>d4f162e2064454be899a9b24650eb2a9b0b08eb736875eeb40d36ec9414ebfda</t>
  </si>
  <si>
    <t>2571799898949a61</t>
  </si>
  <si>
    <t>https://commons.wikimedia.org/w/index.php?search=Vietnam%20road%20sign%20IE461a&amp;title=Special:MediaSearch&amp;type=image</t>
  </si>
  <si>
    <t>IE.461b</t>
  </si>
  <si>
    <t>07_bien_cao_toc/IE.461b.svg</t>
  </si>
  <si>
    <t>https://commons.wikimedia.org/wiki/File:Vietnam_road_sign_IE461b.svg</t>
  </si>
  <si>
    <t>b4e442fb7e0abfae96d61583ca95ee19eb9b12ecb48bfd752cbecc8151a239df</t>
  </si>
  <si>
    <t>1331359898949a61</t>
  </si>
  <si>
    <t>https://commons.wikimedia.org/w/index.php?search=Vietnam%20road%20sign%20IE461b&amp;title=Special:MediaSearch&amp;type=image</t>
  </si>
  <si>
    <t>IE.461c</t>
  </si>
  <si>
    <t>Hướng rẽ vào khu dịch vụ công cộng</t>
  </si>
  <si>
    <t>07_bien_cao_toc/IE.461c.svg</t>
  </si>
  <si>
    <t>https://commons.wikimedia.org/wiki/File:Vietnam_road_sign_IE461c.svg</t>
  </si>
  <si>
    <t>0097e1b83c372ac1b2fbaeb09cd7a72cddfa4bad05c21d1143a54e96ad7844e1</t>
  </si>
  <si>
    <t>0000256a32210000</t>
  </si>
  <si>
    <t>https://commons.wikimedia.org/w/index.php?search=Vietnam%20road%20sign%20IE461c&amp;title=Special:MediaSearch&amp;type=image</t>
  </si>
  <si>
    <t>IE.461d</t>
  </si>
  <si>
    <t>Hướng rẽ vào khu giải trí</t>
  </si>
  <si>
    <t>07_bien_cao_toc/IE.461d.svg</t>
  </si>
  <si>
    <t>https://commons.wikimedia.org/wiki/File:Vietnam_road_sign_IE461d.svg</t>
  </si>
  <si>
    <t>c6d8f4655a3f8aebbd357aedd5192bc98cfdcfd26074d294335bd42db0465987</t>
  </si>
  <si>
    <t>0000253a32250000</t>
  </si>
  <si>
    <t>https://commons.wikimedia.org/w/index.php?search=Vietnam%20road%20sign%20IE461d&amp;title=Special:MediaSearch&amp;type=image</t>
  </si>
  <si>
    <t>IE.462</t>
  </si>
  <si>
    <t>Tần số trên sóng radio được sử dụng ở những khu vực thời tiết hay thay đổi ảnh hưởng tới lưu thông của các phương</t>
  </si>
  <si>
    <t>07_bien_cao_toc/IE.462.svg</t>
  </si>
  <si>
    <t>https://commons.wikimedia.org/wiki/File:Vietnam_road_sign_IE462.svg</t>
  </si>
  <si>
    <t>5470a8b823543f627959934a926515eba686cb4325a423591ba033dbc5033064</t>
  </si>
  <si>
    <t>00046169e0940100</t>
  </si>
  <si>
    <t>https://commons.wikimedia.org/w/index.php?search=Vietnam%20road%20sign%20IE462&amp;title=Special:MediaSearch&amp;type=image</t>
  </si>
  <si>
    <t>IE.463a</t>
  </si>
  <si>
    <t>IE.463</t>
  </si>
  <si>
    <t>Khoảng cách đến Công trình kiểm soát tải trọng xe</t>
  </si>
  <si>
    <t>07_bien_cao_toc/IE.463a.svg</t>
  </si>
  <si>
    <t>https://commons.wikimedia.org/wiki/File:Vietnam_road_sign_IE.463a_(QCVN_41-2024-BGTVT).svg</t>
  </si>
  <si>
    <t>83cf1dd87c903319708c57c4d4df576b96dc42e10e31896e08c6fee6f81a2192</t>
  </si>
  <si>
    <t>00617959cc561200</t>
  </si>
  <si>
    <t>https://commons.wikimedia.org/w/index.php?search=Vietnam%20road%20sign%20IE463a&amp;title=Special:MediaSearch&amp;type=image</t>
  </si>
  <si>
    <t>IE.463b</t>
  </si>
  <si>
    <t>Hướng rẽ vào nơi đặt Công trình kiểm soát tải trọng xe</t>
  </si>
  <si>
    <t>07_bien_cao_toc/IE.463b.svg</t>
  </si>
  <si>
    <t>https://commons.wikimedia.org/wiki/File:Vietnam_road_sign_IE.463b_(QCVN_41-2024-BGTVT).svg</t>
  </si>
  <si>
    <t>b0d5b1a8939d386b3ed13d5d09edd6bfe849b9d2ce64f684ae88b2e31737cd44</t>
  </si>
  <si>
    <t>00133175cc561200</t>
  </si>
  <si>
    <t>https://commons.wikimedia.org/w/index.php?search=Vietnam%20road%20sign%20IE463b&amp;title=Special:MediaSearch&amp;type=image</t>
  </si>
  <si>
    <t>IE.463c</t>
  </si>
  <si>
    <t>Lối vào Công trình kiểm soát tải trọng xe</t>
  </si>
  <si>
    <t>07_bien_cao_toc/IE.463c.svg</t>
  </si>
  <si>
    <t>https://commons.wikimedia.org/wiki/File:Vietnam_road_sign_IE.463C_(QCVN_41-2024-BGTVT).svg</t>
  </si>
  <si>
    <t>e020d5e00774c0f13ab55e87ed4930e45bfe475e10eb03fd87e5895ca03f5cdf</t>
  </si>
  <si>
    <t>000031327a090000</t>
  </si>
  <si>
    <t>https://commons.wikimedia.org/w/index.php?search=Vietnam%20road%20sign%20IE463c&amp;title=Special:MediaSearch&amp;type=image</t>
  </si>
  <si>
    <t>IE.464a</t>
  </si>
  <si>
    <t>IE.464</t>
  </si>
  <si>
    <t>Lối ra một chiều</t>
  </si>
  <si>
    <t>07_bien_cao_toc/IE.464a.svg</t>
  </si>
  <si>
    <t>https://commons.wikimedia.org/wiki/File:Vietnam_road_sign_IE464a.svg</t>
  </si>
  <si>
    <t>8a1806a402849edcb5ee68c88c65996ab1ccdbc9389750f9d152076490db1513</t>
  </si>
  <si>
    <t>0000d6ea92980000</t>
  </si>
  <si>
    <t>https://commons.wikimedia.org/w/index.php?search=Vietnam%20road%20sign%20IE464a&amp;title=Special:MediaSearch&amp;type=image</t>
  </si>
  <si>
    <t>IE.464b</t>
  </si>
  <si>
    <t>Hướng ra</t>
  </si>
  <si>
    <t>07_bien_cao_toc/IE.464b.svg</t>
  </si>
  <si>
    <t>https://commons.wikimedia.org/wiki/File:Vietnam_road_sign_IE464b.svg</t>
  </si>
  <si>
    <t>74ed4d454ff4383a9c1fd5898fb9c819d433af0416e31496de033eda28b43f0f</t>
  </si>
  <si>
    <t>000135342a0b1100</t>
  </si>
  <si>
    <t>https://commons.wikimedia.org/w/index.php?search=Vietnam%20road%20sign%20IE464b&amp;title=Special:MediaSearch&amp;type=image</t>
  </si>
  <si>
    <t>IE.465</t>
  </si>
  <si>
    <t>Địa điểm và khoảng cách, bao gồm hai hoặc ba dòng mang tên của đích đến và khoảng cách tới đích đó tính bằng</t>
  </si>
  <si>
    <t>07_bien_cao_toc/IE.465.svg</t>
  </si>
  <si>
    <t>https://commons.wikimedia.org/wiki/File:Vietnam_road_sign_IE465.svg</t>
  </si>
  <si>
    <t>25b1444bee5ebfda7696b258f60d6dff3183663c5911fa3ac849f6794f14b5df</t>
  </si>
  <si>
    <t>000011d88e0c0000</t>
  </si>
  <si>
    <t>https://commons.wikimedia.org/w/index.php?search=Vietnam%20road%20sign%20IE465&amp;title=Special:MediaSearch&amp;type=image</t>
  </si>
  <si>
    <t>IE.466</t>
  </si>
  <si>
    <t>Sơ đồ lối ra một chiều tại tất cả các nút giao trên đường cao tốc, được bố trí ở trên giá long môn</t>
  </si>
  <si>
    <t>07_bien_cao_toc/IE.466.svg</t>
  </si>
  <si>
    <t>https://commons.wikimedia.org/wiki/File:Vietnam_road_sign_IE466.svg</t>
  </si>
  <si>
    <t>c98cddc98e2163759a74715f0795d13606c8ffab3effa8c139a60e5c16a33a59</t>
  </si>
  <si>
    <t>00001d11d0cd0000</t>
  </si>
  <si>
    <t>https://commons.wikimedia.org/w/index.php?search=Vietnam%20road%20sign%20IE466&amp;title=Special:MediaSearch&amp;type=image</t>
  </si>
  <si>
    <t>IE.467a</t>
  </si>
  <si>
    <t>IE.467</t>
  </si>
  <si>
    <t>Vị trí nhập làn xe tại các vị trí nút giao thông có lưu lượng xe lớn</t>
  </si>
  <si>
    <t>07_bien_cao_toc/IE.467a.svg</t>
  </si>
  <si>
    <t>https://commons.wikimedia.org/wiki/File:Vietnam_road_sign_IE467a.svg</t>
  </si>
  <si>
    <t>a3cc66afe6478e48927f6866ce5f229f738d1bebd6e7790184ff6a39489309dd</t>
  </si>
  <si>
    <t>13170b1f13270707</t>
  </si>
  <si>
    <t>https://commons.wikimedia.org/w/index.php?search=Vietnam%20road%20sign%20IE467a&amp;title=Special:MediaSearch&amp;type=image</t>
  </si>
  <si>
    <t>IE.467b</t>
  </si>
  <si>
    <t>Nhập làn</t>
  </si>
  <si>
    <t>07_bien_cao_toc/IE.467b.svg</t>
  </si>
  <si>
    <t>https://commons.wikimedia.org/wiki/File:Vietnam_road_sign_IE467b.svg</t>
  </si>
  <si>
    <t>959de5be89b6d498ddafb388f0b0c4fc4c8bb512aaca671a4e5f53a4a3cb60ea</t>
  </si>
  <si>
    <t>2b2b1b37372f2723</t>
  </si>
  <si>
    <t>https://commons.wikimedia.org/w/index.php?search=Vietnam%20road%20sign%20IE467b&amp;title=Special:MediaSearch&amp;type=image</t>
  </si>
  <si>
    <t>IE.468a</t>
  </si>
  <si>
    <t>IE.468</t>
  </si>
  <si>
    <t>Chướng ngại vật phía trước</t>
  </si>
  <si>
    <t>07_bien_cao_toc/IE.468a.svg</t>
  </si>
  <si>
    <t>https://commons.wikimedia.org/wiki/File:Vietnam_road_sign_IE468a.svg</t>
  </si>
  <si>
    <t>aa0f741c991171cafe347c4670e03d53ef1e62506ca2406fe59f79a7b2d082c8</t>
  </si>
  <si>
    <t>060e060e0e1e0e1e</t>
  </si>
  <si>
    <t>https://commons.wikimedia.org/w/index.php?search=Vietnam%20road%20sign%20IE468a&amp;title=Special:MediaSearch&amp;type=image</t>
  </si>
  <si>
    <t>IE.468b</t>
  </si>
  <si>
    <t>Đi được cả hai hướng</t>
  </si>
  <si>
    <t>07_bien_cao_toc/IE.468b.svg</t>
  </si>
  <si>
    <t>https://commons.wikimedia.org/wiki/File:Vietnam_road_sign_IE468b.svg</t>
  </si>
  <si>
    <t>62efb2d573b9b07dcfb35b706c2ddcad5b041728ec7146d4a1b6029f81f2132d</t>
  </si>
  <si>
    <t>0e0e0e160e160e16</t>
  </si>
  <si>
    <t>https://commons.wikimedia.org/w/index.php?search=Vietnam%20road%20sign%20IE468b&amp;title=Special:MediaSearch&amp;type=image</t>
  </si>
  <si>
    <t>IE.468c</t>
  </si>
  <si>
    <t>Đi theo hướng bên phải</t>
  </si>
  <si>
    <t>07_bien_cao_toc/IE.468c.svg</t>
  </si>
  <si>
    <t>https://commons.wikimedia.org/wiki/File:Vietnam_road_sign_IE468c.svg</t>
  </si>
  <si>
    <t>f5d009bbeca5c45e5bc7aabbc2d0fa4f34bc9cb10ee6597c15f3a367f0b76fed</t>
  </si>
  <si>
    <t>1e0e1e0e1e060e06</t>
  </si>
  <si>
    <t>https://commons.wikimedia.org/w/index.php?search=Vietnam%20road%20sign%20IE468c&amp;title=Special:MediaSearch&amp;type=image</t>
  </si>
  <si>
    <t>IE.469-1</t>
  </si>
  <si>
    <t>Chỉ dẫn hướng rẽ</t>
  </si>
  <si>
    <t>07_bien_cao_toc/IE.469-1.svg</t>
  </si>
  <si>
    <t>https://commons.wikimedia.org/wiki/File:Vietnam_road_sign_IE469a.svg</t>
  </si>
  <si>
    <t>4446eedc135359f567670bf6e9b2769915629e2f00d0ec807ac7ce2d7653c86f</t>
  </si>
  <si>
    <t>IE.469-2</t>
  </si>
  <si>
    <t>07_bien_cao_toc/IE.469-2.svg</t>
  </si>
  <si>
    <t>https://commons.wikimedia.org/wiki/File:Vietnam_road_sign_IE469b.svg</t>
  </si>
  <si>
    <t>ce62b52cfc2cd4aa3af3330c0cad86bcf99c6e7e4c914598c8eb421def8d6f11</t>
  </si>
  <si>
    <t>IE.470</t>
  </si>
  <si>
    <t>Số điện thoại khẩn cấp</t>
  </si>
  <si>
    <t>07_bien_cao_toc/IE.470.svg</t>
  </si>
  <si>
    <t>https://commons.wikimedia.org/wiki/File:Vietnam_road_sign_IE470.svg</t>
  </si>
  <si>
    <t>eaee9830d106c7894f289450f3f3358a048bbe22770bcb0910bce26b478bcfb6</t>
  </si>
  <si>
    <t>17233b3b2b333b2b</t>
  </si>
  <si>
    <t>https://commons.wikimedia.org/w/index.php?search=Vietnam%20road%20sign%20IE470&amp;title=Special:MediaSearch&amp;type=image</t>
  </si>
  <si>
    <t>IE.471</t>
  </si>
  <si>
    <t>Giữ khoảng cách lái xe an toàn</t>
  </si>
  <si>
    <t>07_bien_cao_toc/IE.471.svg</t>
  </si>
  <si>
    <t>https://commons.wikimedia.org/wiki/File:Vietnam_road_sign_IE471.svg</t>
  </si>
  <si>
    <t>9c02a6fa7dae5d712119d0fb83fe002ca84d4806ae3fe639567d4647e55f4f4c</t>
  </si>
  <si>
    <t>0000882fc6880000</t>
  </si>
  <si>
    <t>https://commons.wikimedia.org/w/index.php?search=Vietnam%20road%20sign%20IE471&amp;title=Special:MediaSearch&amp;type=image</t>
  </si>
  <si>
    <t>IE.472a</t>
  </si>
  <si>
    <t>IE.472</t>
  </si>
  <si>
    <t>Trạm thu phí</t>
  </si>
  <si>
    <t>07_bien_cao_toc/IE.472a.svg</t>
  </si>
  <si>
    <t>https://commons.wikimedia.org/wiki/File:Vietnam_road_sign_IE472a.svg</t>
  </si>
  <si>
    <t>9286e0d8ddb3ee2df0bec96063e1422f81a98b20ecc8c28c719e996ff9f18fb1</t>
  </si>
  <si>
    <t>007171496dac1300</t>
  </si>
  <si>
    <t>https://commons.wikimedia.org/w/index.php?search=Vietnam%20road%20sign%20IE472a&amp;title=Special:MediaSearch&amp;type=image</t>
  </si>
  <si>
    <t>IE.472b</t>
  </si>
  <si>
    <t>07_bien_cao_toc/IE.472b.svg</t>
  </si>
  <si>
    <t>https://commons.wikimedia.org/wiki/File:Vietnam_road_sign_IE472b.svg</t>
  </si>
  <si>
    <t>5935d9c2ab36a0ee2ba6cb71a423c6670d89617020c7aeef5628f16248c49805</t>
  </si>
  <si>
    <t>0000696dac130000</t>
  </si>
  <si>
    <t>https://commons.wikimedia.org/w/index.php?search=Vietnam%20road%20sign%20IE472b&amp;title=Special:MediaSearch&amp;type=image</t>
  </si>
  <si>
    <t>IE.473</t>
  </si>
  <si>
    <t>Giảm tốc độ</t>
  </si>
  <si>
    <t>07_bien_cao_toc/IE.473.svg</t>
  </si>
  <si>
    <t>https://commons.wikimedia.org/wiki/File:Vietnam_road_sign_IE473.svg</t>
  </si>
  <si>
    <t>a3237db4224eae4f8494d2c8ae92a4a0acfaaaaceecc111af349ead9342cc50b</t>
  </si>
  <si>
    <t>00409237535aa400</t>
  </si>
  <si>
    <t>https://commons.wikimedia.org/w/index.php?search=Vietnam%20road%20sign%20IE473&amp;title=Special:MediaSearch&amp;type=image</t>
  </si>
  <si>
    <t>IE.474</t>
  </si>
  <si>
    <t>Lối ra</t>
  </si>
  <si>
    <t>07_bien_cao_toc/IE.474.svg</t>
  </si>
  <si>
    <t>https://commons.wikimedia.org/wiki/File:Vietnam_road_sign_IE474.svg</t>
  </si>
  <si>
    <t>20516e2d7c49861e316209b058db25a38044996f3ae725e15e3871b25467255d</t>
  </si>
  <si>
    <t>1b33373b3369693b</t>
  </si>
  <si>
    <t>https://commons.wikimedia.org/w/index.php?search=Vietnam%20road%20sign%20IE474&amp;title=Special:MediaSearch&amp;type=image</t>
  </si>
  <si>
    <t>loai_nguon</t>
  </si>
  <si>
    <t>duong_dan_hoac_url</t>
  </si>
  <si>
    <t>pham_vi</t>
  </si>
  <si>
    <t>trang_thai</t>
  </si>
  <si>
    <t>ghi_chu</t>
  </si>
  <si>
    <t>input_json</t>
  </si>
  <si>
    <t>QC2024_da_hieu_chinh.json</t>
  </si>
  <si>
    <t>QC2024(2).json</t>
  </si>
  <si>
    <t>452 records</t>
  </si>
  <si>
    <t>reconciled</t>
  </si>
  <si>
    <t>Loại bỏ R.413 trùng; làm rõ standalone I.427a/b, I.434a/b, S.505a/b/c (xác nhận người dùng).</t>
  </si>
  <si>
    <t>input_image_zip</t>
  </si>
  <si>
    <t>dataset_signs.zip</t>
  </si>
  <si>
    <t>391 SVG</t>
  </si>
  <si>
    <t>verified_inventory</t>
  </si>
  <si>
    <t>386 hình thuộc các mã QC2024 đang yêu cầu hình: tên tệp và SHA-256 khớp sheet 06.</t>
  </si>
  <si>
    <t>official_regulation</t>
  </si>
  <si>
    <t>QCVN 41:2024/BGTVT</t>
  </si>
  <si>
    <t>https://datafiles.chinhphu.vn/cpp/files/vbpq/2024/11/51-bgtvt-kem.pdf</t>
  </si>
  <si>
    <t>Phụ lục và hình minh họa</t>
  </si>
  <si>
    <t>candidate_to_verify</t>
  </si>
  <si>
    <t>Nguồn chính thức để xác minh; PDF đầy đủ chưa được kiểm duyệt từng hình trong lượt kiểm kê này.</t>
  </si>
  <si>
    <t>official_document_page</t>
  </si>
  <si>
    <t>Thông tư 51/2024/TT-BGTVT</t>
  </si>
  <si>
    <t>https://vanban.chinhphu.vn/?classid=1&amp;docid=211908&amp;orggroupid=4&amp;pageid=27160</t>
  </si>
  <si>
    <t>Thông tin văn bản pháp lý</t>
  </si>
  <si>
    <t>verified_page</t>
  </si>
  <si>
    <t>Trang văn bản đăng kèm PDF gốc của Chính phủ.</t>
  </si>
  <si>
    <t>user_existing_md</t>
  </si>
  <si>
    <t>documents/51_2024_TT_BGTVT.md</t>
  </si>
  <si>
    <t>documents.zip :: documents/51_2024_TT_BGTVT.md</t>
  </si>
  <si>
    <t>Nội dung trích xuất Markdown</t>
  </si>
  <si>
    <t>secondary_only</t>
  </si>
  <si>
    <t>Có thể đối chiếu mã, mô tả; không đủ để xác minh SVG.</t>
  </si>
  <si>
    <t>wikimedia_category</t>
  </si>
  <si>
    <t>Wikimedia Commons - SVG cấm</t>
  </si>
  <si>
    <t>https://commons.wikimedia.org/wiki/Category:SVG_prohibitory_road_signs_of_Vietnam</t>
  </si>
  <si>
    <t>Danh sách trang ảnh biển cấm</t>
  </si>
  <si>
    <t>category_checked</t>
  </si>
  <si>
    <t>Không phải chứng nhận file SVG cục bộ là bản trên Commons</t>
  </si>
  <si>
    <t>Wikimedia Commons - SVG cảnh báo</t>
  </si>
  <si>
    <t>https://commons.wikimedia.org/wiki/Category:SVG_warning_road_signs_of_Vietnam</t>
  </si>
  <si>
    <t>Danh sách trang ảnh cảnh báo</t>
  </si>
  <si>
    <t>Wikimedia Commons - SVG hiệu lệnh</t>
  </si>
  <si>
    <t>https://commons.wikimedia.org/wiki/Category:SVG_mandatory_road_signs_of_Vietnam</t>
  </si>
  <si>
    <t>Danh sách trang ảnh hiệu lệnh</t>
  </si>
  <si>
    <t>Wikimedia Commons - SVG phụ</t>
  </si>
  <si>
    <t>https://commons.wikimedia.org/wiki/Category:SVG_additional_road_signs_of_Vietnam</t>
  </si>
  <si>
    <t>Danh sách trang ảnh biển phụ</t>
  </si>
  <si>
    <t>Wikimedia Commons - biển chỉ dẫn</t>
  </si>
  <si>
    <t>https://commons.wikimedia.org/wiki/Category:Diagrams_of_indication_road_signs_of_Vietnam</t>
  </si>
  <si>
    <t>Danh sách trang ảnh biển chỉ dẫn</t>
  </si>
  <si>
    <t>Có thể bao gồm biển theo quy chuẩn cũ; phải kiểm tra nội dung theo QCVN 2024</t>
  </si>
  <si>
    <t>user_confirmation</t>
  </si>
  <si>
    <t>Hiệu chỉnh nhầm R.413/R.412</t>
  </si>
  <si>
    <t>User message 2026-10-18</t>
  </si>
  <si>
    <t>QCVN 2019 + 2024</t>
  </si>
  <si>
    <t>user_confirmed</t>
  </si>
  <si>
    <t>R.413i–p là cách ghi nhầm R.412i–p; không tạo các bản ghi trùng. Giữ nội dung mô tả đã chuẩn hóa và ghi chú truy vết.</t>
  </si>
  <si>
    <t>Mã độc lập I.427/I.434/S.505</t>
  </si>
  <si>
    <t>I.427a/b, I.434a/b, S.505a/b/c standalone; parent_code=null. Mã nhóm S.505 tổng hợp sai ở QC2019 được bỏ.</t>
  </si>
  <si>
    <t>data_maintenance</t>
  </si>
  <si>
    <t>Excel current stats</t>
  </si>
  <si>
    <t>QC2024_da_hieu_chinh.json + dataset_signs.zip</t>
  </si>
  <si>
    <t>452 JSON records, 386 matched SVG</t>
  </si>
  <si>
    <t>Sheet 01–05 và 08 đã được làm mới để thống nhất số liệu; sheet 06 sửa 7 parent_code sai và ghi chú R.412.</t>
  </si>
  <si>
    <t>QC2024 | PHÂN LOẠI MÃ VÀ ĐỐI CHIẾU SVG ĐÃ XÁC MINH</t>
  </si>
  <si>
    <t>Nguồn: QC2024_da_hieu_chinh.json (452 bản ghi) | Sheet 06: đối chiếu SVG từ dataset_signs.zip | Hiệu chỉnh theo xác nhận 18/10/2026.</t>
  </si>
  <si>
    <t>CODE CLASSIFICATION</t>
  </si>
  <si>
    <t>TOTAL</t>
  </si>
  <si>
    <t>IMAGE INVENTORY</t>
  </si>
  <si>
    <t>HOW TO READ / METHODOLOGY</t>
  </si>
  <si>
    <t>MÃ THIẾU SVG SAU HIỆU CHỈNH</t>
  </si>
  <si>
    <t>Parent – Has Own Image</t>
  </si>
  <si>
    <t>Has Image</t>
  </si>
  <si>
    <t>Parent (Has Own Image): mã có children_codes và có file SVG riêng trùng sign_code trong ZIP.</t>
  </si>
  <si>
    <t>Sign code</t>
  </si>
  <si>
    <t>Sign name</t>
  </si>
  <si>
    <t>Parent code</t>
  </si>
  <si>
    <t>Record type</t>
  </si>
  <si>
    <t>Expected image_id</t>
  </si>
  <si>
    <t>Comparison</t>
  </si>
  <si>
    <t>Parent – No Own Image</t>
  </si>
  <si>
    <t>Missing Image</t>
  </si>
  <si>
    <t>Parent (No Own Image): mã có children_codes, không có file SVG riêng; hình của con quản lý tách biệt.</t>
  </si>
  <si>
    <t>—</t>
  </si>
  <si>
    <t>Không có</t>
  </si>
  <si>
    <t>Các mã yêu cầu hình riêng đều có SVG</t>
  </si>
  <si>
    <t>No Missing Image</t>
  </si>
  <si>
    <t>Child / Variant</t>
  </si>
  <si>
    <t>No Image Required</t>
  </si>
  <si>
    <t>Has Image: SVG đúng filename đã được kiểm tra thực tế trong ZIP; bổ sung SHA-256/đường dẫn vào sheet 06.</t>
  </si>
  <si>
    <t>Independent</t>
  </si>
  <si>
    <t>Needs Review</t>
  </si>
  <si>
    <t>Missing Image: chỉ tính mã còn tồn tại trong JSON và cần SVG nhưng không có file khớp.</t>
  </si>
  <si>
    <t>TOTAL QC2024</t>
  </si>
  <si>
    <t>R.413(i-p) đã được gộp vào R.412(i-p); I.427/I.434/S.505a-c được phân loại độc lập.</t>
  </si>
  <si>
    <t>QUY TẮC: mã mẹ cần ảnh riêng khi có SVG cùng mã; mã mẹ không có hình riêng không bị tính là thiếu ảnh.</t>
  </si>
  <si>
    <t>ĐỐI CHIẾU: ảnh được khớp theo tên tệp SVG trong ZIP; không đồng nghĩa đã thẩm định hình theo QCVN chính thức.</t>
  </si>
  <si>
    <t>no.</t>
  </si>
  <si>
    <t>sign_name</t>
  </si>
  <si>
    <t>child_code</t>
  </si>
  <si>
    <t>comparison</t>
  </si>
  <si>
    <t>code_type</t>
  </si>
  <si>
    <t>zip_image_path</t>
  </si>
  <si>
    <t>image_id</t>
  </si>
  <si>
    <t>P.107a, P.107b</t>
  </si>
  <si>
    <t>Parent has its own SVG (exact filename in ZIP).</t>
  </si>
  <si>
    <t>family</t>
  </si>
  <si>
    <t>P.107.svg</t>
  </si>
  <si>
    <t>P.108.svg</t>
  </si>
  <si>
    <t>ĐỐI CHIẾU &amp; CÁC ĐIỂM ĐÃ HIỆU CHỈNH</t>
  </si>
  <si>
    <t>I.408.svg</t>
  </si>
  <si>
    <t>Code</t>
  </si>
  <si>
    <t>Issue</t>
  </si>
  <si>
    <t>Parent / Target</t>
  </si>
  <si>
    <t>Location</t>
  </si>
  <si>
    <t>Status</t>
  </si>
  <si>
    <t>Action / Note</t>
  </si>
  <si>
    <t>I.448-1, I.448-2, I.448-3, I.448-4</t>
  </si>
  <si>
    <t>I.448.svg</t>
  </si>
  <si>
    <t>Resolved: independent sign</t>
  </si>
  <si>
    <t>User-confirmed; JSON + Sheet 06</t>
  </si>
  <si>
    <t>parent_code=null; record_type=standalone; removed false orphan warning.</t>
  </si>
  <si>
    <t>Nhóm biển P.103 — Cấm xe ô tô / Cấm xe ô tô rẽ phải / Cấm xe ô tô rẽ trái</t>
  </si>
  <si>
    <t>P.103a, P.103b, P.103c</t>
  </si>
  <si>
    <t>Family/group code; no separate SVG required.</t>
  </si>
  <si>
    <t>P.106a, P.106b, P.106c</t>
  </si>
  <si>
    <t>Nhóm biển P.110 — Cấm xe đạp / Cấm xe đạp thồ</t>
  </si>
  <si>
    <t>P.110a, P.110b</t>
  </si>
  <si>
    <t>P.111a, P.111b, P.111c, P.111d</t>
  </si>
  <si>
    <t>Nhóm biển P.123 — Cấm rẽ trái / Cấm rẽ phải</t>
  </si>
  <si>
    <t>P.123a, P.123b</t>
  </si>
  <si>
    <t>P.124a, P.124b, P.124c, P.124d, P.124e, P.124f</t>
  </si>
  <si>
    <t>P.127a, P.127b, P.127c, P.127-5, P.127-20, P.127-30, P.127-40, P.127-50, P.127-60, P.127-70, P.127-80, P.127-90, P.127-100, P.127-110, P.127-120</t>
  </si>
  <si>
    <t>R.413i–p</t>
  </si>
  <si>
    <t>Resolved: source misprint</t>
  </si>
  <si>
    <t>R.412i–p</t>
  </si>
  <si>
    <t>QC2019 + QC2024</t>
  </si>
  <si>
    <t>No duplicate records</t>
  </si>
  <si>
    <t>8 misprinted child records + R.413 group removed in each year; descriptive text merged into R.412i–p.</t>
  </si>
  <si>
    <t>P.131a, P.131b, P.131c</t>
  </si>
  <si>
    <t>S.505</t>
  </si>
  <si>
    <t>Resolved: synthetic 2019 group</t>
  </si>
  <si>
    <t>QC2019</t>
  </si>
  <si>
    <t>Removed</t>
  </si>
  <si>
    <t>S.505a/b/c are independent; delete artificial S.505 group.</t>
  </si>
  <si>
    <t>W.201a, W.201b, W.201c, W.201d</t>
  </si>
  <si>
    <t>W.211a</t>
  </si>
  <si>
    <t>SVG only; no JSON record</t>
  </si>
  <si>
    <t>ZIP + Sheet 06</t>
  </si>
  <si>
    <t>SVG available</t>
  </si>
  <si>
    <t>Keep SVG; avoid inventing legal record.</t>
  </si>
  <si>
    <t>W.202a, W.202b</t>
  </si>
  <si>
    <t>W.211b</t>
  </si>
  <si>
    <t>W.203a, W.203b, W.203c</t>
  </si>
  <si>
    <t>Inventory path corrected</t>
  </si>
  <si>
    <t>Sheet 06</t>
  </si>
  <si>
    <t>Corrected</t>
  </si>
  <si>
    <t>SVG filename and SHA-256 corrected during prior ZIP audit.</t>
  </si>
  <si>
    <t>W.205a, W.205b, W.205c, W.205d, W.205e</t>
  </si>
  <si>
    <t>W.207a, W.207b, W.207c, W.207d, W.207e, W.207f, W.207g, W.207h, W.207i, W.207k, W.207l</t>
  </si>
  <si>
    <t>Duplicate placeholder rows</t>
  </si>
  <si>
    <t>Resolved</t>
  </si>
  <si>
    <t>Use populated inventory row; retain older blank entry for traceability.</t>
  </si>
  <si>
    <t>Nhóm biển W.215 — Kè, vực sâu phía trước / Kè, vực / Kè, vực sâu bên đường</t>
  </si>
  <si>
    <t>W.215a, W.215b, W.215c</t>
  </si>
  <si>
    <t>Nhóm biển W.216 — Đường ngầm / Đường ngầm có nguy cơ lũ quét</t>
  </si>
  <si>
    <t>W.216a, W.216b</t>
  </si>
  <si>
    <t>Đường không bằng phẳng</t>
  </si>
  <si>
    <t>W.221a, W.221b</t>
  </si>
  <si>
    <t>Nhóm biển W.222 — Đường trơn / Lề đường nguy hiểm</t>
  </si>
  <si>
    <t>W.222a, W.222b</t>
  </si>
  <si>
    <t>W.223a, W.223b</t>
  </si>
  <si>
    <t>W.228a, W.228b, W.228c, W.228d</t>
  </si>
  <si>
    <t>W.239a, W.239b</t>
  </si>
  <si>
    <t>W.242a, W.242b</t>
  </si>
  <si>
    <t>W.243a, W.243b, W.243c</t>
  </si>
  <si>
    <t>Đi chậm</t>
  </si>
  <si>
    <t>W.245a, W.245b</t>
  </si>
  <si>
    <t>Chú ý chướng ngại vật</t>
  </si>
  <si>
    <t>W.246a, W.246b, W.246c</t>
  </si>
  <si>
    <t>I.405a, I.405b, I.405c</t>
  </si>
  <si>
    <t>I.407a, I.407b, I.407c</t>
  </si>
  <si>
    <t>Nhóm biển I.413 — Làn đường dành cho ô tô khách (đường phía trước / hướng rẽ)</t>
  </si>
  <si>
    <t>I.413a, I.413b, I.413c</t>
  </si>
  <si>
    <t>I.414a, I.414b, I.414c, I.414d</t>
  </si>
  <si>
    <t>I.417a, I.417b, I.417c</t>
  </si>
  <si>
    <t>I.419a, I.419b</t>
  </si>
  <si>
    <t>I.422a, I.422b</t>
  </si>
  <si>
    <t>I.423a, I.423b, I.423c</t>
  </si>
  <si>
    <t>Nhóm biển I.424 — Cầu vượt và hầm chui qua đường cho người đi bộ</t>
  </si>
  <si>
    <t>I.424a, I.424b, I.424c, I.424d</t>
  </si>
  <si>
    <t>Nhóm biển I.428 — Cửa hàng xăng dầu / Trạm nạp điện / Cửa hàng xăng dầu và Trạm nạp điện</t>
  </si>
  <si>
    <t>I.428a, I.428b, I.428c</t>
  </si>
  <si>
    <t>Nhóm biển I.433 — Nơi nghỉ mát, cắm trại, nhà lưu động và nhà trọ</t>
  </si>
  <si>
    <t>I.433a, I.433b, I.433c, I.433d, I.433e</t>
  </si>
  <si>
    <t>I.441a, I.441b, I.441c</t>
  </si>
  <si>
    <t>Biển báo chỉ dẫn địa điểm</t>
  </si>
  <si>
    <t>I.444a, I.444b, I.444c, I.444d, I.444e, I.444f, I.444g, I.444h, I.444i, I.444j, I.444k, I.444l, I.444m</t>
  </si>
  <si>
    <t>Biển báo kiểu mô tả tình trạng đường</t>
  </si>
  <si>
    <t>I.445a, I.445b, I.445c, I.445d, I.445e, I.445f, I.445g, I.445h</t>
  </si>
  <si>
    <t>I.447a, I.447b, I.447c, I.447d</t>
  </si>
  <si>
    <t>Sơ đồ và khoảng cách đến nút giao</t>
  </si>
  <si>
    <t>IE.450a, IE.450b</t>
  </si>
  <si>
    <t>Lối vào, khoảng cách đến lối vào đường cao tốc</t>
  </si>
  <si>
    <t>IE.451a, IE.451b</t>
  </si>
  <si>
    <t>Kết thúc đường cao tốc</t>
  </si>
  <si>
    <t>IE.453a, IE.453b, IE.453c</t>
  </si>
  <si>
    <t>Khoảng cách và hướng rẽ đến trạm dừng nghỉ, được đặt bên lề đường cao tốc</t>
  </si>
  <si>
    <t>IE.456a, IE.456b, IE.456c</t>
  </si>
  <si>
    <t>Nơi đỗ xe trong trạm dừng nghỉ</t>
  </si>
  <si>
    <t>IE.457a, IE.457b</t>
  </si>
  <si>
    <t>Đến khu tham quan, du lịch được đặt ở bên lề đường</t>
  </si>
  <si>
    <t>IE.459a, IE.459b</t>
  </si>
  <si>
    <t>Cột kilômét trên đường cao tốc đặt tại lề đường</t>
  </si>
  <si>
    <t>IE.460a, IE.460b, IE.460c</t>
  </si>
  <si>
    <t>Khoảng cách và hướng đến khu dịch vụ công cộng, giải trí</t>
  </si>
  <si>
    <t>IE.461a, IE.461b, IE.461c, IE.461d</t>
  </si>
  <si>
    <t>Đến Công trình kiểm soát tải trọng xe</t>
  </si>
  <si>
    <t>IE.463a, IE.463b, IE.463c</t>
  </si>
  <si>
    <t>Địa điểm và phương hướng dùng để chỉ dẫn địa danh nơi đến và mũi trên cho một làn xe chạy cụ thể, bao gồm tên địa</t>
  </si>
  <si>
    <t>IE.464a, IE.464b</t>
  </si>
  <si>
    <t>Vị trí nhập làn</t>
  </si>
  <si>
    <t>IE.467a, IE.467b</t>
  </si>
  <si>
    <t>Chướng ngại vật phía trước để báo cảnh báo phía trước có sự cản trở lưu thông bình thường</t>
  </si>
  <si>
    <t>IE.468a, IE.468b, IE.468c</t>
  </si>
  <si>
    <t>Khoảng cách đến trạm thu phí</t>
  </si>
  <si>
    <t>IE.472a, IE.472b</t>
  </si>
  <si>
    <t>Hướng đi phải theo</t>
  </si>
  <si>
    <t>R.301a, R.301b, R.301c, R.301d, R.301e, R.301f, R.301g, R.301h</t>
  </si>
  <si>
    <t>R.302a, R.302b, R.302c</t>
  </si>
  <si>
    <t>R.308a, R.308b</t>
  </si>
  <si>
    <t>R.310a, R.310b, R.310c</t>
  </si>
  <si>
    <t>Nhóm biển R.403 — Đường dành cho xe ô tô / Đường dành cho xe ô tô, xe máy / Đường dành cho xe buýt</t>
  </si>
  <si>
    <t>R.403a, R.403b, R.403c, R.403d, R.403e, R.403f, R.403g, R.403h, R.403k</t>
  </si>
  <si>
    <t>Nhóm biển R.404 — Hết đoạn đường dành cho xe ô tô / Hết đoạn đường dành cho xe ô tô, xe máy / Hết đoạn đường dành cho xe buýt</t>
  </si>
  <si>
    <t>R.404a, R.404b, R.404c, R.404d, R.404e, R.404f, R.404g, R.404h, R.404k</t>
  </si>
  <si>
    <t>Làn đường dành riêng cho từng loại xe hoặc nhóm xe</t>
  </si>
  <si>
    <t>R.412a, R.412b, R.412c, R.412d, R.412e, R.412f, R.412g, R.412h, R.412i, R.412j, R.412k, R.412l, R.412m, R.412n, R.412o, R.412p</t>
  </si>
  <si>
    <t>Family/group code; no separate SVG required. | R.413 source typo corrected to R.412 (user confirmed).</t>
  </si>
  <si>
    <t>R.415a, R.415b</t>
  </si>
  <si>
    <t>DP.127a, DP.127b, DP.127c</t>
  </si>
  <si>
    <t>S.503a, S.503b, S.503c, S.503d, S.503e, S.503f</t>
  </si>
  <si>
    <t>S.506a, S.506b</t>
  </si>
  <si>
    <t>Nhóm biển S.508 — Biểu thị thời gian</t>
  </si>
  <si>
    <t>S.508a, S.508b</t>
  </si>
  <si>
    <t>Thuyết minh biển chính</t>
  </si>
  <si>
    <t>S.509a, S.509b</t>
  </si>
  <si>
    <t>variant</t>
  </si>
  <si>
    <t>P.103a.svg</t>
  </si>
  <si>
    <t>P.103b.svg</t>
  </si>
  <si>
    <t>P.103c.svg</t>
  </si>
  <si>
    <t>P.106a.svg</t>
  </si>
  <si>
    <t>P.106b.svg</t>
  </si>
  <si>
    <t>P.106c.svg</t>
  </si>
  <si>
    <t>P.107a.svg</t>
  </si>
  <si>
    <t>P.107b.svg</t>
  </si>
  <si>
    <t>P.108a.svg</t>
  </si>
  <si>
    <t>P.110a.svg</t>
  </si>
  <si>
    <t>P.110b.svg</t>
  </si>
  <si>
    <t>P.111a.svg</t>
  </si>
  <si>
    <t>P.111b.svg</t>
  </si>
  <si>
    <t>P.111c.svg</t>
  </si>
  <si>
    <t>P.111d.svg</t>
  </si>
  <si>
    <t>P.123a.svg</t>
  </si>
  <si>
    <t>P.123b.svg</t>
  </si>
  <si>
    <t>P.124a.svg</t>
  </si>
  <si>
    <t>P.124b.svg</t>
  </si>
  <si>
    <t>P.124c.svg</t>
  </si>
  <si>
    <t>P.124d.svg</t>
  </si>
  <si>
    <t>P.124e.svg</t>
  </si>
  <si>
    <t>P.124f.svg</t>
  </si>
  <si>
    <t>Tốc độ tối đa cho phép 100 km/h</t>
  </si>
  <si>
    <t>P.127-100.svg</t>
  </si>
  <si>
    <t>Tốc độ tối đa cho phép 110 km/h</t>
  </si>
  <si>
    <t>P.127-110.svg</t>
  </si>
  <si>
    <t>Tốc độ tối đa cho phép 120 km/h</t>
  </si>
  <si>
    <t>P.127-120.svg</t>
  </si>
  <si>
    <t>Tốc độ tối đa cho phép 20 km/h</t>
  </si>
  <si>
    <t>P.127-20.svg</t>
  </si>
  <si>
    <t>Tốc độ tối đa cho phép 30 km/h</t>
  </si>
  <si>
    <t>P.127-30.svg</t>
  </si>
  <si>
    <t>Tốc độ tối đa cho phép 40 km/h</t>
  </si>
  <si>
    <t>P.127-40.svg</t>
  </si>
  <si>
    <t>Tốc độ tối đa cho phép 5 km/h</t>
  </si>
  <si>
    <t>P.127-5.svg</t>
  </si>
  <si>
    <t>Tốc độ tối đa cho phép 50 km/h</t>
  </si>
  <si>
    <t>P.127-50.svg</t>
  </si>
  <si>
    <t>Tốc độ tối đa cho phép 60 km/h</t>
  </si>
  <si>
    <t>P.127-60.svg</t>
  </si>
  <si>
    <t>Tốc độ tối đa cho phép 70 km/h</t>
  </si>
  <si>
    <t>P.127-70.svg</t>
  </si>
  <si>
    <t>Tốc độ tối đa cho phép 80 km/h</t>
  </si>
  <si>
    <t>P.127-80.svg</t>
  </si>
  <si>
    <t>Tốc độ tối đa cho phép 90 km/h</t>
  </si>
  <si>
    <t>P.127-90.svg</t>
  </si>
  <si>
    <t>P.127a.svg</t>
  </si>
  <si>
    <t>P.127b.svg</t>
  </si>
  <si>
    <t>P.127c.svg</t>
  </si>
  <si>
    <t>P.131a.svg</t>
  </si>
  <si>
    <t>P.131b.svg</t>
  </si>
  <si>
    <t>P.131c.svg</t>
  </si>
  <si>
    <t>W.201a.svg</t>
  </si>
  <si>
    <t>W.201b.svg</t>
  </si>
  <si>
    <t>W.201c.svg</t>
  </si>
  <si>
    <t>W.201d.svg</t>
  </si>
  <si>
    <t>W.202a.svg</t>
  </si>
  <si>
    <t>W.202b.svg</t>
  </si>
  <si>
    <t>W.203a.svg</t>
  </si>
  <si>
    <t>W.203b.svg</t>
  </si>
  <si>
    <t>W.203c.svg</t>
  </si>
  <si>
    <t>W.205a.svg</t>
  </si>
  <si>
    <t>W.205b.svg</t>
  </si>
  <si>
    <t>W.205c.svg</t>
  </si>
  <si>
    <t>W.205d.svg</t>
  </si>
  <si>
    <t>W.205e.svg</t>
  </si>
  <si>
    <t>W.207a.svg</t>
  </si>
  <si>
    <t>W.207b.svg</t>
  </si>
  <si>
    <t>W.207c.svg</t>
  </si>
  <si>
    <t>W.207d.svg</t>
  </si>
  <si>
    <t>W.207e.svg</t>
  </si>
  <si>
    <t>W.207f.svg</t>
  </si>
  <si>
    <t>W.207g.svg</t>
  </si>
  <si>
    <t>W.207h.svg</t>
  </si>
  <si>
    <t>W.207i.svg</t>
  </si>
  <si>
    <t>W.207k.svg</t>
  </si>
  <si>
    <t>W.207l.svg</t>
  </si>
  <si>
    <t>W.215a.svg</t>
  </si>
  <si>
    <t>W.215b.svg</t>
  </si>
  <si>
    <t>W.215c.svg</t>
  </si>
  <si>
    <t>W.216a.svg</t>
  </si>
  <si>
    <t>W.216b.svg</t>
  </si>
  <si>
    <t>W.221a.svg</t>
  </si>
  <si>
    <t>W.221b.svg</t>
  </si>
  <si>
    <t>W.222a.svg</t>
  </si>
  <si>
    <t>W.222b.svg</t>
  </si>
  <si>
    <t>W.223a.svg</t>
  </si>
  <si>
    <t>W.223b.svg</t>
  </si>
  <si>
    <t>W.228a.svg</t>
  </si>
  <si>
    <t>W.228b.svg</t>
  </si>
  <si>
    <t>W.228c.svg</t>
  </si>
  <si>
    <t>W.228d.svg</t>
  </si>
  <si>
    <t>W.239a.svg</t>
  </si>
  <si>
    <t>W.239b.svg</t>
  </si>
  <si>
    <t>W.242a.svg</t>
  </si>
  <si>
    <t>W.242b.svg</t>
  </si>
  <si>
    <t>W.243a.svg</t>
  </si>
  <si>
    <t>W.243b.svg</t>
  </si>
  <si>
    <t>W.243c.svg</t>
  </si>
  <si>
    <t>W.245a.svg</t>
  </si>
  <si>
    <t>W.245b.svg</t>
  </si>
  <si>
    <t>W.246a.svg</t>
  </si>
  <si>
    <t>W.246b.svg</t>
  </si>
  <si>
    <t>W.246c.svg</t>
  </si>
  <si>
    <t>I.405a.svg</t>
  </si>
  <si>
    <t>I.405b.svg</t>
  </si>
  <si>
    <t>I.405c.svg</t>
  </si>
  <si>
    <t>I.407a.svg</t>
  </si>
  <si>
    <t>I.407b.svg</t>
  </si>
  <si>
    <t>I.407c.svg</t>
  </si>
  <si>
    <t>I.408a.svg</t>
  </si>
  <si>
    <t>I.413a.svg</t>
  </si>
  <si>
    <t>I.413b.svg</t>
  </si>
  <si>
    <t>I.413c.svg</t>
  </si>
  <si>
    <t>I.414a.svg</t>
  </si>
  <si>
    <t>I.414b.svg</t>
  </si>
  <si>
    <t>I.414c.svg</t>
  </si>
  <si>
    <t>I.414d.svg</t>
  </si>
  <si>
    <t>I.417a.svg</t>
  </si>
  <si>
    <t>I.417b.svg</t>
  </si>
  <si>
    <t>I.417c.svg</t>
  </si>
  <si>
    <t>I.419a.svg</t>
  </si>
  <si>
    <t>I.419b.svg</t>
  </si>
  <si>
    <t>I.422a.svg</t>
  </si>
  <si>
    <t>I.422b.svg</t>
  </si>
  <si>
    <t>I.423a.svg</t>
  </si>
  <si>
    <t>I.423b.svg</t>
  </si>
  <si>
    <t>I.423c.svg</t>
  </si>
  <si>
    <t>I.424a.svg</t>
  </si>
  <si>
    <t>I.424b.svg</t>
  </si>
  <si>
    <t>I.424c.svg</t>
  </si>
  <si>
    <t>I.424d.svg</t>
  </si>
  <si>
    <t>I.428a.svg</t>
  </si>
  <si>
    <t>I.428b.svg</t>
  </si>
  <si>
    <t>I.428c.svg</t>
  </si>
  <si>
    <t>I.433a.svg</t>
  </si>
  <si>
    <t>I.433b.svg</t>
  </si>
  <si>
    <t>I.433c.svg</t>
  </si>
  <si>
    <t>I.433d.svg</t>
  </si>
  <si>
    <t>I.433e.svg</t>
  </si>
  <si>
    <t>I.441a.svg</t>
  </si>
  <si>
    <t>I.441b.svg</t>
  </si>
  <si>
    <t>I.441c.svg</t>
  </si>
  <si>
    <t>I.444a.svg</t>
  </si>
  <si>
    <t>I.444b.svg</t>
  </si>
  <si>
    <t>I.444c.svg</t>
  </si>
  <si>
    <t>I.444d.svg</t>
  </si>
  <si>
    <t>I.444e.svg</t>
  </si>
  <si>
    <t>I.444f.svg</t>
  </si>
  <si>
    <t>I.444g.svg</t>
  </si>
  <si>
    <t>I.444h.svg</t>
  </si>
  <si>
    <t>I.444i.svg</t>
  </si>
  <si>
    <t>I.444j.svg</t>
  </si>
  <si>
    <t>I.444k.svg</t>
  </si>
  <si>
    <t>I.444l.svg</t>
  </si>
  <si>
    <t>I.444m.svg</t>
  </si>
  <si>
    <t>I.445a.svg</t>
  </si>
  <si>
    <t>I.445b.svg</t>
  </si>
  <si>
    <t>I.445c.svg</t>
  </si>
  <si>
    <t>I.445d.svg</t>
  </si>
  <si>
    <t>I.445e.svg</t>
  </si>
  <si>
    <t>I.445f.svg</t>
  </si>
  <si>
    <t>I.445g.svg</t>
  </si>
  <si>
    <t>I.445h.svg</t>
  </si>
  <si>
    <t>I.447a.svg</t>
  </si>
  <si>
    <t>I.447b.svg</t>
  </si>
  <si>
    <t>I.447c.svg</t>
  </si>
  <si>
    <t>I.447d.svg</t>
  </si>
  <si>
    <t>Làn đường cứu nạn – báo trước 2 km</t>
  </si>
  <si>
    <t>I.448-1.svg</t>
  </si>
  <si>
    <t>Làn đường cứu nạn – báo trước 1 km</t>
  </si>
  <si>
    <t>I.448-2.svg</t>
  </si>
  <si>
    <t>Làn đường cứu nạn – báo trước 300 m</t>
  </si>
  <si>
    <t>I.448-3.svg</t>
  </si>
  <si>
    <t>Làn đường cứu nạn – tại chỗ rẽ</t>
  </si>
  <si>
    <t>I.448-4.svg</t>
  </si>
  <si>
    <t>IE.450a.svg</t>
  </si>
  <si>
    <t>IE.450b.svg</t>
  </si>
  <si>
    <t>IE.451a.svg</t>
  </si>
  <si>
    <t>IE.451b.svg</t>
  </si>
  <si>
    <t>IE.453a.svg</t>
  </si>
  <si>
    <t>IE.453b.svg</t>
  </si>
  <si>
    <t>IE.453c.svg</t>
  </si>
  <si>
    <t>IE.456a.svg</t>
  </si>
  <si>
    <t>IE.456b.svg</t>
  </si>
  <si>
    <t>IE.456c.svg</t>
  </si>
  <si>
    <t>IE.457a.svg</t>
  </si>
  <si>
    <t>IE.457b.svg</t>
  </si>
  <si>
    <t>IE.459a.svg</t>
  </si>
  <si>
    <t>IE.459b.svg</t>
  </si>
  <si>
    <t>IE.460a.svg</t>
  </si>
  <si>
    <t>IE.460b.svg</t>
  </si>
  <si>
    <t>IE.460c.svg</t>
  </si>
  <si>
    <t>IE.461a.svg</t>
  </si>
  <si>
    <t>IE.461b.svg</t>
  </si>
  <si>
    <t>IE.461c.svg</t>
  </si>
  <si>
    <t>IE.461d.svg</t>
  </si>
  <si>
    <t>IE.463a.svg</t>
  </si>
  <si>
    <t>IE.463b.svg</t>
  </si>
  <si>
    <t>IE.463c.svg</t>
  </si>
  <si>
    <t>IE.464a.svg</t>
  </si>
  <si>
    <t>IE.464b.svg</t>
  </si>
  <si>
    <t>IE.467a.svg</t>
  </si>
  <si>
    <t>IE.467b.svg</t>
  </si>
  <si>
    <t>IE.468a.svg</t>
  </si>
  <si>
    <t>IE.468b.svg</t>
  </si>
  <si>
    <t>IE.468c.svg</t>
  </si>
  <si>
    <t>IE.472a.svg</t>
  </si>
  <si>
    <t>IE.472b.svg</t>
  </si>
  <si>
    <t>R.301a.svg</t>
  </si>
  <si>
    <t>R.301b.svg</t>
  </si>
  <si>
    <t>R.301c.svg</t>
  </si>
  <si>
    <t>R.301d.svg</t>
  </si>
  <si>
    <t>R.301e.svg</t>
  </si>
  <si>
    <t>R.301f.svg</t>
  </si>
  <si>
    <t>R.301g.svg</t>
  </si>
  <si>
    <t>Các xe chỉ được rẽ trái và rẽ phải.</t>
  </si>
  <si>
    <t>R.301h.svg</t>
  </si>
  <si>
    <t>R.302a.svg</t>
  </si>
  <si>
    <t>R.302b.svg</t>
  </si>
  <si>
    <t>R.302c.svg</t>
  </si>
  <si>
    <t>R.308a.svg</t>
  </si>
  <si>
    <t>R.308b.svg</t>
  </si>
  <si>
    <t>R.310a.svg</t>
  </si>
  <si>
    <t>R.310b.svg</t>
  </si>
  <si>
    <t>R.310c.svg</t>
  </si>
  <si>
    <t>R.403a.svg</t>
  </si>
  <si>
    <t>R.403b.svg</t>
  </si>
  <si>
    <t>R.403c.svg</t>
  </si>
  <si>
    <t>R.403d.svg</t>
  </si>
  <si>
    <t>R.403e.svg</t>
  </si>
  <si>
    <t>R.403f.svg</t>
  </si>
  <si>
    <t>R.403g.svg</t>
  </si>
  <si>
    <t>R.403h.svg</t>
  </si>
  <si>
    <t>R.403k.svg</t>
  </si>
  <si>
    <t>R.404a.svg</t>
  </si>
  <si>
    <t>R.404b.svg</t>
  </si>
  <si>
    <t>R.404c.svg</t>
  </si>
  <si>
    <t>R.404d.svg</t>
  </si>
  <si>
    <t>R.404e.svg</t>
  </si>
  <si>
    <t>R.404f.svg</t>
  </si>
  <si>
    <t>R.404g.svg</t>
  </si>
  <si>
    <t>R.404h.svg</t>
  </si>
  <si>
    <t>R.404k.svg</t>
  </si>
  <si>
    <t>R.412a.svg</t>
  </si>
  <si>
    <t>R.412b.svg</t>
  </si>
  <si>
    <t>R.412c.svg</t>
  </si>
  <si>
    <t>R.412d.svg</t>
  </si>
  <si>
    <t>R.412e.svg</t>
  </si>
  <si>
    <t>R.412f.svg</t>
  </si>
  <si>
    <t>R.412g.svg</t>
  </si>
  <si>
    <t>R.412h.svg</t>
  </si>
  <si>
    <t>R.413 source typo corrected to R.412 (user confirmed).</t>
  </si>
  <si>
    <t>R.412i.svg</t>
  </si>
  <si>
    <t>R.412j.svg</t>
  </si>
  <si>
    <t>R.412k.svg</t>
  </si>
  <si>
    <t>R.412l.svg</t>
  </si>
  <si>
    <t>R.412m.svg</t>
  </si>
  <si>
    <t>R.412n.svg</t>
  </si>
  <si>
    <t>R.412o.svg</t>
  </si>
  <si>
    <t>R.412p.svg</t>
  </si>
  <si>
    <t>R.415a.svg</t>
  </si>
  <si>
    <t>R.415b.svg</t>
  </si>
  <si>
    <t>DP.127a.svg</t>
  </si>
  <si>
    <t>DP.127b.svg</t>
  </si>
  <si>
    <t>DP.127c.svg</t>
  </si>
  <si>
    <t>S.503a.svg</t>
  </si>
  <si>
    <t>S.503b.svg</t>
  </si>
  <si>
    <t>S.503c.svg</t>
  </si>
  <si>
    <t>S.503d.svg</t>
  </si>
  <si>
    <t>S.503e.svg</t>
  </si>
  <si>
    <t>S.503f.svg</t>
  </si>
  <si>
    <t>S.506a.svg</t>
  </si>
  <si>
    <t>S.506b.svg</t>
  </si>
  <si>
    <t>S.508a.svg</t>
  </si>
  <si>
    <t>S.508b.svg</t>
  </si>
  <si>
    <t>S.509a.svg</t>
  </si>
  <si>
    <t>S.509b.svg</t>
  </si>
  <si>
    <t>standalone</t>
  </si>
  <si>
    <t>P.101.svg</t>
  </si>
  <si>
    <t>P.102.svg</t>
  </si>
  <si>
    <t>P.104.svg</t>
  </si>
  <si>
    <t>P.105.svg</t>
  </si>
  <si>
    <t>P.109.svg</t>
  </si>
  <si>
    <t>P.112.svg</t>
  </si>
  <si>
    <t>P.113.svg</t>
  </si>
  <si>
    <t>P.114.svg</t>
  </si>
  <si>
    <t>P.115.svg</t>
  </si>
  <si>
    <t>P.116.svg</t>
  </si>
  <si>
    <t>P.117.svg</t>
  </si>
  <si>
    <t>P.118.svg</t>
  </si>
  <si>
    <t>P.119.svg</t>
  </si>
  <si>
    <t>P.120.svg</t>
  </si>
  <si>
    <t>P.121.svg</t>
  </si>
  <si>
    <t>P.125.svg</t>
  </si>
  <si>
    <t>P.126.svg</t>
  </si>
  <si>
    <t>P.128.svg</t>
  </si>
  <si>
    <t>P.129.svg</t>
  </si>
  <si>
    <t>P.130.svg</t>
  </si>
  <si>
    <t>P.132.svg</t>
  </si>
  <si>
    <t>P.133</t>
  </si>
  <si>
    <t>01_bien_cam/P.133.svg</t>
  </si>
  <si>
    <t>P.133.svg</t>
  </si>
  <si>
    <t>P.134</t>
  </si>
  <si>
    <t>Hết hạn chế tốc độ tối đa</t>
  </si>
  <si>
    <t>01_bien_cam/P.134.svg</t>
  </si>
  <si>
    <t>P.134.svg</t>
  </si>
  <si>
    <t>P.135</t>
  </si>
  <si>
    <t>01_bien_cam/P.135.svg</t>
  </si>
  <si>
    <t>P.135.svg</t>
  </si>
  <si>
    <t>P.136.svg</t>
  </si>
  <si>
    <t>P.137.svg</t>
  </si>
  <si>
    <t>P.138.svg</t>
  </si>
  <si>
    <t>P.139.svg</t>
  </si>
  <si>
    <t>P.140.svg</t>
  </si>
  <si>
    <t>W.204.svg</t>
  </si>
  <si>
    <t>W.206.svg</t>
  </si>
  <si>
    <t>W.208.svg</t>
  </si>
  <si>
    <t>W.209.svg</t>
  </si>
  <si>
    <t>W.210.svg</t>
  </si>
  <si>
    <t>02_bien_nguy_hiem/W.211.svg</t>
  </si>
  <si>
    <t>W.211.svg</t>
  </si>
  <si>
    <t>W.212.svg</t>
  </si>
  <si>
    <t>W.213.svg</t>
  </si>
  <si>
    <t>W.214.svg</t>
  </si>
  <si>
    <t>W.217.svg</t>
  </si>
  <si>
    <t>W.218.svg</t>
  </si>
  <si>
    <t>W.219.svg</t>
  </si>
  <si>
    <t>W.220.svg</t>
  </si>
  <si>
    <t>W.224.svg</t>
  </si>
  <si>
    <t>W.225.svg</t>
  </si>
  <si>
    <t>W.226.svg</t>
  </si>
  <si>
    <t>W.227.svg</t>
  </si>
  <si>
    <t>W.229.svg</t>
  </si>
  <si>
    <t>W.230.svg</t>
  </si>
  <si>
    <t>W.231.svg</t>
  </si>
  <si>
    <t>W.232.svg</t>
  </si>
  <si>
    <t>W.233.svg</t>
  </si>
  <si>
    <t>W.234.svg</t>
  </si>
  <si>
    <t>W.235.svg</t>
  </si>
  <si>
    <t>W.236.svg</t>
  </si>
  <si>
    <t>W.237.svg</t>
  </si>
  <si>
    <t>W.238.svg</t>
  </si>
  <si>
    <t>W.240.svg</t>
  </si>
  <si>
    <t>W.241.svg</t>
  </si>
  <si>
    <t>W.244.svg</t>
  </si>
  <si>
    <t>W.247.svg</t>
  </si>
  <si>
    <t>I.401.svg</t>
  </si>
  <si>
    <t>I.402.svg</t>
  </si>
  <si>
    <t>I.406.svg</t>
  </si>
  <si>
    <t>I.409.svg</t>
  </si>
  <si>
    <t>I.410.svg</t>
  </si>
  <si>
    <t>I.415.svg</t>
  </si>
  <si>
    <t>I.416.svg</t>
  </si>
  <si>
    <t>I.418.svg</t>
  </si>
  <si>
    <t>I.425.svg</t>
  </si>
  <si>
    <t>I.426.svg</t>
  </si>
  <si>
    <t>User confirmed: independent code without a parent.</t>
  </si>
  <si>
    <t>I.427a.svg</t>
  </si>
  <si>
    <t>I.427b.svg</t>
  </si>
  <si>
    <t>I.429.svg</t>
  </si>
  <si>
    <t>I.430.svg</t>
  </si>
  <si>
    <t>I.431.svg</t>
  </si>
  <si>
    <t>I.432.svg</t>
  </si>
  <si>
    <t>I.434a.svg</t>
  </si>
  <si>
    <t>I.434b.svg</t>
  </si>
  <si>
    <t>I.435.svg</t>
  </si>
  <si>
    <t>I.436.svg</t>
  </si>
  <si>
    <t>I.437.svg</t>
  </si>
  <si>
    <t>I.439.svg</t>
  </si>
  <si>
    <t>I.440.svg</t>
  </si>
  <si>
    <t>I.442.svg</t>
  </si>
  <si>
    <t>I.443.svg</t>
  </si>
  <si>
    <t>I.446.svg</t>
  </si>
  <si>
    <t>I.449.svg</t>
  </si>
  <si>
    <t>IE.452.svg</t>
  </si>
  <si>
    <t>IE.454.svg</t>
  </si>
  <si>
    <t>IE.455.svg</t>
  </si>
  <si>
    <t>IE.458.svg</t>
  </si>
  <si>
    <t>IE.462.svg</t>
  </si>
  <si>
    <t>IE.465.svg</t>
  </si>
  <si>
    <t>IE.466.svg</t>
  </si>
  <si>
    <t>IE.469-1.svg</t>
  </si>
  <si>
    <t>IE.469-2.svg</t>
  </si>
  <si>
    <t>IE.470.svg</t>
  </si>
  <si>
    <t>IE.471.svg</t>
  </si>
  <si>
    <t>IE.473.svg</t>
  </si>
  <si>
    <t>IE.474.svg</t>
  </si>
  <si>
    <t>R.122.svg</t>
  </si>
  <si>
    <t>R.303.svg</t>
  </si>
  <si>
    <t>R.304.svg</t>
  </si>
  <si>
    <t>R.305.svg</t>
  </si>
  <si>
    <t>R.306.svg</t>
  </si>
  <si>
    <t>R.307.svg</t>
  </si>
  <si>
    <t>R.309.svg</t>
  </si>
  <si>
    <t>R.411.svg</t>
  </si>
  <si>
    <t>R.420.svg</t>
  </si>
  <si>
    <t>R.421.svg</t>
  </si>
  <si>
    <t>DP.133.svg</t>
  </si>
  <si>
    <t>DP.134.svg</t>
  </si>
  <si>
    <t>DP.135.svg</t>
  </si>
  <si>
    <t>S.501.svg</t>
  </si>
  <si>
    <t>S.502.svg</t>
  </si>
  <si>
    <t>S.504.svg</t>
  </si>
  <si>
    <t>S.505a.svg</t>
  </si>
  <si>
    <t>S.505b.svg</t>
  </si>
  <si>
    <t>S.505c.svg</t>
  </si>
  <si>
    <t>S.507.svg</t>
  </si>
  <si>
    <t>S.510a.svg</t>
  </si>
  <si>
    <t>S.510b.svg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</si>
</sst>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41">
    <font>
      <sz val="11.0"/>
      <color rgb="FF000000"/>
      <name val="Carlito"/>
      <scheme val="minor"/>
    </font>
    <font>
      <b/>
      <sz val="15.0"/>
      <color rgb="FFFFFFFF"/>
      <name val="Carlito"/>
    </font>
    <font>
      <b/>
      <sz val="11.0"/>
      <color rgb="FFFFFFFF"/>
      <name val="Carlito"/>
    </font>
    <font>
      <color theme="1"/>
      <name val="Carlito"/>
    </font>
    <font>
      <sz val="11.0"/>
      <color rgb="FF000000"/>
      <name val="Carlito"/>
    </font>
    <font>
      <sz val="11.0"/>
      <color theme="1"/>
      <name val="Carlito"/>
    </font>
    <font>
      <u/>
      <sz val="11.0"/>
      <color theme="10"/>
      <name val="Carlito"/>
    </font>
    <font>
      <u/>
      <sz val="11.0"/>
      <color theme="10"/>
      <name val="Carlito"/>
    </font>
    <font>
      <u/>
      <sz val="11.0"/>
      <color theme="10"/>
      <name val="Carlito"/>
    </font>
    <font>
      <sz val="11.0"/>
      <color rgb="FFFF0000"/>
      <name val="Carlito"/>
    </font>
    <font>
      <u/>
      <sz val="11.0"/>
      <color theme="10"/>
      <name val="Carlito"/>
    </font>
    <font>
      <u/>
      <sz val="11.0"/>
      <color rgb="FF467886"/>
      <name val="Carlito"/>
    </font>
    <font>
      <u/>
      <sz val="11.0"/>
      <color theme="10"/>
      <name val="Carlito"/>
    </font>
    <font>
      <b/>
      <sz val="11.0"/>
      <color rgb="FFFF0000"/>
      <name val="Carlito"/>
    </font>
    <font/>
    <font>
      <u/>
      <sz val="11.0"/>
      <color rgb="FF467886"/>
      <name val="Carlito"/>
    </font>
    <font>
      <b/>
      <sz val="11.0"/>
      <color rgb="FFFFFFFF"/>
      <name val="Roboto"/>
    </font>
    <font>
      <color theme="1"/>
      <name val="Roboto"/>
    </font>
    <font>
      <color theme="1"/>
      <name val="Carlito"/>
      <scheme val="minor"/>
    </font>
    <font>
      <sz val="11.0"/>
      <color theme="1"/>
      <name val="Roboto"/>
    </font>
    <font>
      <u/>
      <sz val="11.0"/>
      <color theme="10"/>
      <name val="Roboto"/>
    </font>
    <font>
      <sz val="11.0"/>
      <color rgb="FFFF0000"/>
      <name val="Roboto"/>
    </font>
    <font>
      <u/>
      <sz val="11.0"/>
      <color theme="10"/>
      <name val="Carlito"/>
    </font>
    <font>
      <u/>
      <color theme="1"/>
      <name val="Roboto"/>
    </font>
    <font>
      <u/>
      <color rgb="FF0000FF"/>
      <name val="Roboto"/>
    </font>
    <font>
      <b/>
      <sz val="16.0"/>
      <color rgb="FFFFFFFF"/>
      <name val="Carlito"/>
    </font>
    <font>
      <sz val="10.0"/>
      <color rgb="FF36566D"/>
      <name val="Carlito"/>
    </font>
    <font>
      <b/>
      <sz val="12.0"/>
      <color rgb="FFFFFFFF"/>
      <name val="Carlito"/>
    </font>
    <font>
      <sz val="11.0"/>
      <color rgb="FF14263E"/>
      <name val="Carlito"/>
    </font>
    <font>
      <b/>
      <sz val="13.0"/>
      <color rgb="FF0F766E"/>
      <name val="Carlito"/>
    </font>
    <font>
      <sz val="10.0"/>
      <color rgb="FF37536B"/>
      <name val="Carlito"/>
    </font>
    <font>
      <b/>
      <sz val="11.0"/>
      <color rgb="FF803535"/>
      <name val="Carlito"/>
    </font>
    <font>
      <b/>
      <sz val="11.0"/>
      <color rgb="FFA92222"/>
      <name val="Carlito"/>
    </font>
    <font>
      <b/>
      <sz val="11.0"/>
      <color rgb="FF114C55"/>
      <name val="Carlito"/>
    </font>
    <font>
      <b/>
      <sz val="13.0"/>
      <color rgb="FF114C55"/>
      <name val="Carlito"/>
    </font>
    <font>
      <sz val="10.0"/>
      <color rgb="FF7C5018"/>
      <name val="Carlito"/>
    </font>
    <font>
      <sz val="11.0"/>
      <color rgb="FF64748B"/>
      <name val="Carlito"/>
    </font>
    <font>
      <b/>
      <sz val="11.0"/>
      <color rgb="FF000000"/>
      <name val="Carlito"/>
    </font>
    <font>
      <b/>
      <sz val="11.0"/>
      <color rgb="FF1D4ED8"/>
      <name val="Carlito"/>
    </font>
    <font>
      <sz val="11.0"/>
      <color rgb="FF1D4ED8"/>
      <name val="Carlito"/>
    </font>
    <font>
      <b/>
      <sz val="11.0"/>
      <color rgb="FF253F57"/>
      <name val="Carlito"/>
    </font>
  </fonts>
  <fills count="26">
    <fill>
      <patternFill patternType="none"/>
    </fill>
    <fill>
      <patternFill patternType="lightGray"/>
    </fill>
    <fill>
      <patternFill patternType="solid">
        <fgColor rgb="FF17324D"/>
        <bgColor rgb="FF17324D"/>
      </patternFill>
    </fill>
    <fill>
      <patternFill patternType="solid">
        <fgColor rgb="FF23304A"/>
        <bgColor rgb="FF23304A"/>
      </patternFill>
    </fill>
    <fill>
      <patternFill patternType="solid">
        <fgColor rgb="FFDCFCE7"/>
        <bgColor rgb="FFDCFCE7"/>
      </patternFill>
    </fill>
    <fill>
      <patternFill patternType="solid">
        <fgColor rgb="FF00FF00"/>
        <bgColor rgb="FF00FF00"/>
      </patternFill>
    </fill>
    <fill>
      <patternFill patternType="solid">
        <fgColor rgb="FF95DCF7"/>
        <bgColor rgb="FF95DCF7"/>
      </patternFill>
    </fill>
    <fill>
      <patternFill patternType="solid">
        <fgColor rgb="FFFFFF00"/>
        <bgColor rgb="FFFFFF00"/>
      </patternFill>
    </fill>
    <fill>
      <patternFill patternType="solid">
        <fgColor rgb="FF29D735"/>
        <bgColor rgb="FF29D735"/>
      </patternFill>
    </fill>
    <fill>
      <patternFill patternType="solid">
        <fgColor rgb="FFFFC000"/>
        <bgColor rgb="FFFFC000"/>
      </patternFill>
    </fill>
    <fill>
      <patternFill patternType="solid">
        <fgColor rgb="FFFF0000"/>
        <bgColor rgb="FFFF0000"/>
      </patternFill>
    </fill>
    <fill>
      <patternFill patternType="solid">
        <fgColor theme="0"/>
        <bgColor theme="0"/>
      </patternFill>
    </fill>
    <fill>
      <patternFill patternType="solid">
        <fgColor rgb="FFFFFFFF"/>
        <bgColor rgb="FFFFFFFF"/>
      </patternFill>
    </fill>
    <fill>
      <patternFill patternType="solid">
        <fgColor rgb="FF15324F"/>
        <bgColor rgb="FF15324F"/>
      </patternFill>
    </fill>
    <fill>
      <patternFill patternType="solid">
        <fgColor rgb="FFE8F3F5"/>
        <bgColor rgb="FFE8F3F5"/>
      </patternFill>
    </fill>
    <fill>
      <patternFill patternType="solid">
        <fgColor rgb="FF126D73"/>
        <bgColor rgb="FF126D73"/>
      </patternFill>
    </fill>
    <fill>
      <patternFill patternType="solid">
        <fgColor rgb="FFA33132"/>
        <bgColor rgb="FFA33132"/>
      </patternFill>
    </fill>
    <fill>
      <patternFill patternType="solid">
        <fgColor rgb="FFF1F6FA"/>
        <bgColor rgb="FFF1F6FA"/>
      </patternFill>
    </fill>
    <fill>
      <patternFill patternType="solid">
        <fgColor rgb="FFF3F7FC"/>
        <bgColor rgb="FFF3F7FC"/>
      </patternFill>
    </fill>
    <fill>
      <patternFill patternType="solid">
        <fgColor rgb="FFEDDCDC"/>
        <bgColor rgb="FFEDDCDC"/>
      </patternFill>
    </fill>
    <fill>
      <patternFill patternType="solid">
        <fgColor rgb="FFFCE8E8"/>
        <bgColor rgb="FFFCE8E8"/>
      </patternFill>
    </fill>
    <fill>
      <patternFill patternType="solid">
        <fgColor rgb="FFD7E9E8"/>
        <bgColor rgb="FFD7E9E8"/>
      </patternFill>
    </fill>
    <fill>
      <patternFill patternType="solid">
        <fgColor rgb="FFFFF4E0"/>
        <bgColor rgb="FFFFF4E0"/>
      </patternFill>
    </fill>
    <fill>
      <patternFill patternType="solid">
        <fgColor rgb="FF29516A"/>
        <bgColor rgb="FF29516A"/>
      </patternFill>
    </fill>
    <fill>
      <patternFill patternType="solid">
        <fgColor rgb="FFDEE8F0"/>
        <bgColor rgb="FFDEE8F0"/>
      </patternFill>
    </fill>
    <fill>
      <patternFill patternType="solid">
        <fgColor rgb="FFFEF3C7"/>
        <bgColor rgb="FFFEF3C7"/>
      </patternFill>
    </fill>
  </fills>
  <borders count="5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bottom style="thin">
        <color rgb="FF000000"/>
      </bottom>
    </border>
  </borders>
  <cellStyleXfs count="1">
    <xf borderId="0" fillId="0" fontId="0" numFmtId="0" applyAlignment="1" applyFont="1"/>
  </cellStyleXfs>
  <cellXfs count="85">
    <xf borderId="0" fillId="0" fontId="0" numFmtId="0" xfId="0" applyAlignment="1" applyFont="1">
      <alignment readingOrder="0" shrinkToFit="0" vertical="bottom" wrapText="0"/>
    </xf>
    <xf borderId="0" fillId="2" fontId="1" numFmtId="0" xfId="0" applyFill="1" applyFont="1"/>
    <xf borderId="0" fillId="2" fontId="2" numFmtId="0" xfId="0" applyAlignment="1" applyFill="1" applyFont="1">
      <alignment vertical="center"/>
    </xf>
    <xf borderId="0" fillId="0" fontId="3" numFmtId="0" xfId="0" applyFont="1"/>
    <xf borderId="0" fillId="0" fontId="3" numFmtId="1" xfId="0" applyFont="1" applyNumberFormat="1"/>
    <xf borderId="0" fillId="0" fontId="3" numFmtId="0" xfId="0" applyAlignment="1" applyFont="1">
      <alignment shrinkToFit="0" wrapText="1"/>
    </xf>
    <xf borderId="0" fillId="0" fontId="4" numFmtId="0" xfId="0" applyAlignment="1" applyFont="1">
      <alignment shrinkToFit="0" vertical="bottom" wrapText="1"/>
    </xf>
    <xf borderId="0" fillId="2" fontId="2" numFmtId="0" xfId="0" applyAlignment="1" applyFill="1" applyFont="1">
      <alignment horizontal="left" shrinkToFit="0" vertical="center" wrapText="0"/>
    </xf>
    <xf borderId="0" fillId="0" fontId="3" numFmtId="0" xfId="0" applyAlignment="1" applyFont="1">
      <alignment shrinkToFit="0" vertical="center" wrapText="0"/>
    </xf>
    <xf borderId="1" fillId="0" fontId="5" numFmtId="0" xfId="0" applyAlignment="1" applyBorder="1" applyFont="1">
      <alignment vertical="center"/>
    </xf>
    <xf borderId="1" fillId="3" fontId="2" numFmtId="0" xfId="0" applyAlignment="1" applyBorder="1" applyFill="1" applyFont="1">
      <alignment shrinkToFit="0" vertical="center" wrapText="1"/>
    </xf>
    <xf borderId="1" fillId="4" fontId="5" numFmtId="0" xfId="0" applyAlignment="1" applyBorder="1" applyFill="1" applyFont="1">
      <alignment vertical="center"/>
    </xf>
    <xf borderId="1" fillId="4" fontId="5" numFmtId="0" xfId="0" applyAlignment="1" applyBorder="1" applyFill="1" applyFont="1">
      <alignment shrinkToFit="0" vertical="center" wrapText="1"/>
    </xf>
    <xf borderId="1" fillId="4" fontId="6" numFmtId="0" xfId="0" applyAlignment="1" applyBorder="1" applyFill="1" applyFont="1">
      <alignment shrinkToFit="0" vertical="center" wrapText="1"/>
    </xf>
    <xf borderId="1" fillId="5" fontId="5" numFmtId="0" xfId="0" applyAlignment="1" applyBorder="1" applyFill="1" applyFont="1">
      <alignment vertical="center"/>
    </xf>
    <xf borderId="1" fillId="0" fontId="5" numFmtId="0" xfId="0" applyAlignment="1" applyBorder="1" applyFont="1">
      <alignment shrinkToFit="0" vertical="center" wrapText="1"/>
    </xf>
    <xf borderId="1" fillId="0" fontId="7" numFmtId="0" xfId="0" applyAlignment="1" applyBorder="1" applyFont="1">
      <alignment shrinkToFit="0" vertical="center" wrapText="1"/>
    </xf>
    <xf borderId="1" fillId="6" fontId="5" numFmtId="0" xfId="0" applyAlignment="1" applyBorder="1" applyFill="1" applyFont="1">
      <alignment shrinkToFit="0" vertical="center" wrapText="1"/>
    </xf>
    <xf borderId="1" fillId="6" fontId="8" numFmtId="0" xfId="0" applyAlignment="1" applyBorder="1" applyFill="1" applyFont="1">
      <alignment shrinkToFit="0" vertical="center" wrapText="1"/>
    </xf>
    <xf borderId="1" fillId="6" fontId="9" numFmtId="0" xfId="0" applyAlignment="1" applyBorder="1" applyFill="1" applyFont="1">
      <alignment shrinkToFit="0" vertical="center" wrapText="1"/>
    </xf>
    <xf borderId="0" fillId="6" fontId="5" numFmtId="0" xfId="0" applyFill="1" applyFont="1"/>
    <xf borderId="1" fillId="7" fontId="5" numFmtId="0" xfId="0" applyAlignment="1" applyBorder="1" applyFill="1" applyFont="1">
      <alignment shrinkToFit="0" vertical="center" wrapText="1"/>
    </xf>
    <xf borderId="1" fillId="7" fontId="10" numFmtId="0" xfId="0" applyAlignment="1" applyBorder="1" applyFill="1" applyFont="1">
      <alignment shrinkToFit="0" vertical="center" wrapText="1"/>
    </xf>
    <xf borderId="1" fillId="7" fontId="9" numFmtId="0" xfId="0" applyAlignment="1" applyBorder="1" applyFill="1" applyFont="1">
      <alignment shrinkToFit="0" vertical="center" wrapText="1"/>
    </xf>
    <xf borderId="0" fillId="7" fontId="5" numFmtId="0" xfId="0" applyFill="1" applyFont="1"/>
    <xf borderId="1" fillId="8" fontId="5" numFmtId="0" xfId="0" applyAlignment="1" applyBorder="1" applyFill="1" applyFont="1">
      <alignment vertical="center"/>
    </xf>
    <xf borderId="1" fillId="6" fontId="11" numFmtId="0" xfId="0" applyAlignment="1" applyBorder="1" applyFill="1" applyFont="1">
      <alignment shrinkToFit="0" vertical="center" wrapText="1"/>
    </xf>
    <xf borderId="1" fillId="9" fontId="5" numFmtId="0" xfId="0" applyAlignment="1" applyBorder="1" applyFill="1" applyFont="1">
      <alignment shrinkToFit="0" vertical="center" wrapText="1"/>
    </xf>
    <xf borderId="1" fillId="9" fontId="12" numFmtId="0" xfId="0" applyAlignment="1" applyBorder="1" applyFill="1" applyFont="1">
      <alignment shrinkToFit="0" vertical="center" wrapText="1"/>
    </xf>
    <xf borderId="1" fillId="9" fontId="13" numFmtId="0" xfId="0" applyAlignment="1" applyBorder="1" applyFill="1" applyFont="1">
      <alignment shrinkToFit="0" vertical="center" wrapText="1"/>
    </xf>
    <xf borderId="0" fillId="9" fontId="5" numFmtId="0" xfId="0" applyFill="1" applyFont="1"/>
    <xf borderId="2" fillId="9" fontId="5" numFmtId="0" xfId="0" applyAlignment="1" applyBorder="1" applyFill="1" applyFont="1">
      <alignment horizontal="left" shrinkToFit="0" vertical="center" wrapText="1"/>
    </xf>
    <xf borderId="3" fillId="0" fontId="14" numFmtId="0" xfId="0" applyBorder="1" applyFont="1"/>
    <xf borderId="4" fillId="0" fontId="14" numFmtId="0" xfId="0" applyBorder="1" applyFont="1"/>
    <xf borderId="1" fillId="10" fontId="5" numFmtId="0" xfId="0" applyAlignment="1" applyBorder="1" applyFill="1" applyFont="1">
      <alignment vertical="center"/>
    </xf>
    <xf borderId="2" fillId="7" fontId="13" numFmtId="0" xfId="0" applyAlignment="1" applyBorder="1" applyFill="1" applyFont="1">
      <alignment horizontal="center" shrinkToFit="0" vertical="center" wrapText="1"/>
    </xf>
    <xf borderId="1" fillId="11" fontId="5" numFmtId="0" xfId="0" applyAlignment="1" applyBorder="1" applyFill="1" applyFont="1">
      <alignment vertical="center"/>
    </xf>
    <xf borderId="1" fillId="0" fontId="15" numFmtId="0" xfId="0" applyAlignment="1" applyBorder="1" applyFont="1">
      <alignment shrinkToFit="0" vertical="center" wrapText="1"/>
    </xf>
    <xf borderId="0" fillId="2" fontId="16" numFmtId="0" xfId="0" applyAlignment="1" applyFill="1" applyFont="1">
      <alignment horizontal="left" shrinkToFit="0" vertical="center" wrapText="0"/>
    </xf>
    <xf borderId="0" fillId="2" fontId="16" numFmtId="0" xfId="0" applyAlignment="1" applyFill="1" applyFont="1">
      <alignment horizontal="left" readingOrder="0" shrinkToFit="0" vertical="center" wrapText="0"/>
    </xf>
    <xf borderId="0" fillId="12" fontId="17" numFmtId="0" xfId="0" applyAlignment="1" applyFill="1" applyFont="1">
      <alignment shrinkToFit="0" vertical="center" wrapText="0"/>
    </xf>
    <xf borderId="0" fillId="12" fontId="3" numFmtId="0" xfId="0" applyFill="1" applyFont="1"/>
    <xf borderId="0" fillId="12" fontId="18" numFmtId="0" xfId="0" applyFill="1" applyFont="1"/>
    <xf borderId="0" fillId="12" fontId="19" numFmtId="0" xfId="0" applyAlignment="1" applyFill="1" applyFont="1">
      <alignment shrinkToFit="0" vertical="center" wrapText="0"/>
    </xf>
    <xf borderId="0" fillId="12" fontId="20" numFmtId="0" xfId="0" applyAlignment="1" applyFill="1" applyFont="1">
      <alignment shrinkToFit="0" vertical="center" wrapText="0"/>
    </xf>
    <xf borderId="0" fillId="12" fontId="21" numFmtId="0" xfId="0" applyAlignment="1" applyFill="1" applyFont="1">
      <alignment shrinkToFit="0" vertical="center" wrapText="0"/>
    </xf>
    <xf borderId="0" fillId="12" fontId="5" numFmtId="0" xfId="0" applyFill="1" applyFont="1"/>
    <xf borderId="1" fillId="12" fontId="5" numFmtId="0" xfId="0" applyAlignment="1" applyBorder="1" applyFill="1" applyFont="1">
      <alignment shrinkToFit="0" vertical="center" wrapText="1"/>
    </xf>
    <xf borderId="1" fillId="12" fontId="22" numFmtId="0" xfId="0" applyAlignment="1" applyBorder="1" applyFill="1" applyFont="1">
      <alignment shrinkToFit="0" vertical="center" wrapText="1"/>
    </xf>
    <xf borderId="0" fillId="12" fontId="17" numFmtId="0" xfId="0" applyAlignment="1" applyFill="1" applyFont="1">
      <alignment readingOrder="0" shrinkToFit="0" vertical="center" wrapText="0"/>
    </xf>
    <xf borderId="0" fillId="12" fontId="23" numFmtId="0" xfId="0" applyAlignment="1" applyFill="1" applyFont="1">
      <alignment readingOrder="0" shrinkToFit="0" vertical="center" wrapText="0"/>
    </xf>
    <xf borderId="0" fillId="12" fontId="24" numFmtId="0" xfId="0" applyAlignment="1" applyFill="1" applyFont="1">
      <alignment shrinkToFit="0" vertical="center" wrapText="0"/>
    </xf>
    <xf borderId="0" fillId="0" fontId="18" numFmtId="0" xfId="0" applyFont="1"/>
    <xf borderId="0" fillId="13" fontId="25" numFmtId="0" xfId="0" applyAlignment="1" applyFill="1" applyFont="1">
      <alignment shrinkToFit="0" vertical="center" wrapText="0"/>
    </xf>
    <xf borderId="0" fillId="14" fontId="26" numFmtId="0" xfId="0" applyAlignment="1" applyFill="1" applyFont="1">
      <alignment shrinkToFit="0" vertical="center" wrapText="0"/>
    </xf>
    <xf borderId="0" fillId="15" fontId="2" numFmtId="0" xfId="0" applyAlignment="1" applyFill="1" applyFont="1">
      <alignment shrinkToFit="0" vertical="center" wrapText="0"/>
    </xf>
    <xf borderId="0" fillId="13" fontId="2" numFmtId="0" xfId="0" applyAlignment="1" applyFill="1" applyFont="1">
      <alignment shrinkToFit="0" vertical="center" wrapText="0"/>
    </xf>
    <xf borderId="0" fillId="16" fontId="27" numFmtId="0" xfId="0" applyAlignment="1" applyFill="1" applyFont="1">
      <alignment shrinkToFit="0" vertical="bottom" wrapText="0"/>
    </xf>
    <xf borderId="0" fillId="17" fontId="28" numFmtId="0" xfId="0" applyAlignment="1" applyFill="1" applyFont="1">
      <alignment shrinkToFit="0" vertical="bottom" wrapText="0"/>
    </xf>
    <xf borderId="0" fillId="17" fontId="29" numFmtId="1" xfId="0" applyAlignment="1" applyFill="1" applyFont="1" applyNumberFormat="1">
      <alignment horizontal="center" shrinkToFit="0" vertical="bottom" wrapText="0"/>
    </xf>
    <xf borderId="0" fillId="18" fontId="30" numFmtId="0" xfId="0" applyAlignment="1" applyFill="1" applyFont="1">
      <alignment shrinkToFit="0" vertical="center" wrapText="0"/>
    </xf>
    <xf borderId="0" fillId="19" fontId="31" numFmtId="0" xfId="0" applyAlignment="1" applyFill="1" applyFont="1">
      <alignment shrinkToFit="0" vertical="bottom" wrapText="0"/>
    </xf>
    <xf borderId="0" fillId="4" fontId="4" numFmtId="0" xfId="0" applyAlignment="1" applyFill="1" applyFont="1">
      <alignment shrinkToFit="0" vertical="bottom" wrapText="0"/>
    </xf>
    <xf borderId="0" fillId="4" fontId="32" numFmtId="0" xfId="0" applyAlignment="1" applyFill="1" applyFont="1">
      <alignment shrinkToFit="0" vertical="bottom" wrapText="0"/>
    </xf>
    <xf borderId="0" fillId="20" fontId="32" numFmtId="0" xfId="0" applyAlignment="1" applyFill="1" applyFont="1">
      <alignment shrinkToFit="0" vertical="bottom" wrapText="0"/>
    </xf>
    <xf borderId="0" fillId="21" fontId="33" numFmtId="0" xfId="0" applyAlignment="1" applyFill="1" applyFont="1">
      <alignment shrinkToFit="0" vertical="bottom" wrapText="0"/>
    </xf>
    <xf borderId="0" fillId="21" fontId="34" numFmtId="1" xfId="0" applyAlignment="1" applyFill="1" applyFont="1" applyNumberFormat="1">
      <alignment horizontal="center" shrinkToFit="0" vertical="bottom" wrapText="0"/>
    </xf>
    <xf borderId="0" fillId="22" fontId="35" numFmtId="0" xfId="0" applyAlignment="1" applyFill="1" applyFont="1">
      <alignment shrinkToFit="0" vertical="center" wrapText="0"/>
    </xf>
    <xf borderId="0" fillId="13" fontId="2" numFmtId="0" xfId="0" applyAlignment="1" applyFill="1" applyFont="1">
      <alignment horizontal="left" shrinkToFit="0" vertical="center" wrapText="0"/>
    </xf>
    <xf borderId="0" fillId="13" fontId="2" numFmtId="0" xfId="0" applyAlignment="1" applyFill="1" applyFont="1">
      <alignment shrinkToFit="0" vertical="center" wrapText="0"/>
    </xf>
    <xf borderId="0" fillId="0" fontId="36" numFmtId="1" xfId="0" applyAlignment="1" applyFont="1" applyNumberFormat="1">
      <alignment horizontal="center" shrinkToFit="0" vertical="center" wrapText="0"/>
    </xf>
    <xf borderId="0" fillId="0" fontId="4" numFmtId="0" xfId="0" applyAlignment="1" applyFont="1">
      <alignment shrinkToFit="0" vertical="center" wrapText="0"/>
    </xf>
    <xf borderId="0" fillId="0" fontId="37" numFmtId="0" xfId="0" applyAlignment="1" applyFont="1">
      <alignment shrinkToFit="0" vertical="center" wrapText="0"/>
    </xf>
    <xf borderId="0" fillId="0" fontId="4" numFmtId="0" xfId="0" applyAlignment="1" applyFont="1">
      <alignment shrinkToFit="0" vertical="center" wrapText="1"/>
    </xf>
    <xf borderId="0" fillId="0" fontId="4" numFmtId="0" xfId="0" applyAlignment="1" applyFont="1">
      <alignment horizontal="center" shrinkToFit="0" vertical="center" wrapText="0"/>
    </xf>
    <xf borderId="0" fillId="0" fontId="38" numFmtId="0" xfId="0" applyAlignment="1" applyFont="1">
      <alignment shrinkToFit="0" vertical="center" wrapText="0"/>
    </xf>
    <xf borderId="0" fillId="0" fontId="18" numFmtId="0" xfId="0" applyFont="1"/>
    <xf borderId="0" fillId="0" fontId="39" numFmtId="0" xfId="0" applyAlignment="1" applyFont="1">
      <alignment shrinkToFit="0" vertical="center" wrapText="0"/>
    </xf>
    <xf borderId="0" fillId="23" fontId="27" numFmtId="0" xfId="0" applyAlignment="1" applyFill="1" applyFont="1">
      <alignment shrinkToFit="0" vertical="bottom" wrapText="0"/>
    </xf>
    <xf borderId="0" fillId="24" fontId="40" numFmtId="0" xfId="0" applyAlignment="1" applyFill="1" applyFont="1">
      <alignment shrinkToFit="0" vertical="bottom" wrapText="0"/>
    </xf>
    <xf borderId="0" fillId="0" fontId="4" numFmtId="1" xfId="0" applyAlignment="1" applyFont="1" applyNumberFormat="1">
      <alignment shrinkToFit="0" vertical="bottom" wrapText="0"/>
    </xf>
    <xf borderId="0" fillId="25" fontId="37" numFmtId="0" xfId="0" applyAlignment="1" applyFill="1" applyFont="1">
      <alignment shrinkToFit="0" vertical="center" wrapText="0"/>
    </xf>
    <xf borderId="0" fillId="0" fontId="4" numFmtId="0" xfId="0" applyAlignment="1" applyFont="1">
      <alignment readingOrder="0" shrinkToFit="0" vertical="center" wrapText="1"/>
    </xf>
    <xf borderId="0" fillId="0" fontId="4" numFmtId="0" xfId="0" applyAlignment="1" applyFont="1">
      <alignment readingOrder="0" shrinkToFit="0" vertical="center" wrapText="0"/>
    </xf>
    <xf borderId="0" fillId="0" fontId="18" numFmtId="0" xfId="0" applyAlignment="1" applyFont="1">
      <alignment readingOrder="0"/>
    </xf>
  </cellXfs>
  <cellStyles count="1">
    <cellStyle xfId="0" name="Normal" builtinId="0"/>
  </cellStyles>
  <dxfs count="10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>
        <color rgb="FF176337"/>
      </font>
      <fill>
        <patternFill patternType="solid">
          <fgColor rgb="FFE2F7E9"/>
          <bgColor rgb="FFE2F7E9"/>
        </patternFill>
      </fill>
      <border/>
    </dxf>
    <dxf>
      <font>
        <color rgb="FF991B1B"/>
      </font>
      <fill>
        <patternFill patternType="solid">
          <fgColor rgb="FFFDE8E8"/>
          <bgColor rgb="FFFDE8E8"/>
        </patternFill>
      </fill>
      <border/>
    </dxf>
    <dxf>
      <font>
        <color rgb="FF475569"/>
      </font>
      <fill>
        <patternFill patternType="solid">
          <fgColor rgb="FFE9EDF5"/>
          <bgColor rgb="FFE9EDF5"/>
        </patternFill>
      </fill>
      <border/>
    </dxf>
    <dxf>
      <font>
        <color rgb="FF11643A"/>
      </font>
      <fill>
        <patternFill patternType="solid">
          <fgColor rgb="FFE5F5EB"/>
          <bgColor rgb="FFE5F5EB"/>
        </patternFill>
      </fill>
      <border/>
    </dxf>
    <dxf>
      <font>
        <b/>
        <color rgb="FFB42318"/>
      </font>
      <fill>
        <patternFill patternType="solid">
          <fgColor rgb="FFFCE8E8"/>
          <bgColor rgb="FFFCE8E8"/>
        </patternFill>
      </fill>
      <border/>
    </dxf>
    <dxf>
      <font>
        <color rgb="FF3C5781"/>
      </font>
      <fill>
        <patternFill patternType="solid">
          <fgColor rgb="FFE8EEF6"/>
          <bgColor rgb="FFE8EEF6"/>
        </patternFill>
      </fill>
      <border/>
    </dxf>
  </dxfs>
  <tableStyles count="2">
    <tableStyle count="3" pivot="0" name="06_QC2024_Phan_loai_anh-style">
      <tableStyleElement dxfId="1" type="headerRow"/>
      <tableStyleElement dxfId="2" type="firstRowStripe"/>
      <tableStyleElement dxfId="3" type="secondRowStripe"/>
    </tableStyle>
    <tableStyle count="3" pivot="0" name="06_QC2024_Phan_loai_anh-style 2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10" Type="http://customschemas.google.com/relationships/workbookmetadata" Target="metadata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15</xdr:col>
      <xdr:colOff>0</xdr:colOff>
      <xdr:row>16</xdr:row>
      <xdr:rowOff>228600</xdr:rowOff>
    </xdr:from>
    <xdr:ext cx="4572000" cy="6381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4:L475" displayName="Table_1" name="Table_1" id="1">
  <tableColumns count="12">
    <tableColumn name="no." id="1"/>
    <tableColumn name="category" id="2"/>
    <tableColumn name="sign_code" id="3"/>
    <tableColumn name="sign_name" id="4"/>
    <tableColumn name="parent_code" id="5"/>
    <tableColumn name="child_code" id="6"/>
    <tableColumn name="comparison" id="7"/>
    <tableColumn name="note" id="8"/>
    <tableColumn name="code_type" id="9"/>
    <tableColumn name="image_required" id="10"/>
    <tableColumn name="zip_image_path" id="11"/>
    <tableColumn name="record_type" id="12"/>
  </tableColumns>
  <tableStyleInfo name="06_QC2024_Phan_loai_anh-style" showColumnStripes="0" showFirstColumn="1" showLastColumn="1" showRowStripes="1"/>
</table>
</file>

<file path=xl/tables/table2.xml><?xml version="1.0" encoding="utf-8"?>
<table xmlns="http://schemas.openxmlformats.org/spreadsheetml/2006/main" ref="A14:M475" displayName="Table_2" name="Table_2" id="2">
  <tableColumns count="13">
    <tableColumn name="no." id="1"/>
    <tableColumn name="category" id="2"/>
    <tableColumn name="sign_code" id="3"/>
    <tableColumn name="sign_name" id="4"/>
    <tableColumn name="parent_code" id="5"/>
    <tableColumn name="child_code" id="6"/>
    <tableColumn name="comparison" id="7"/>
    <tableColumn name="note" id="8"/>
    <tableColumn name="code_type" id="9"/>
    <tableColumn name="image_required" id="10"/>
    <tableColumn name="zip_image_path" id="11"/>
    <tableColumn name="record_type" id="12"/>
    <tableColumn name="image_id" id="13"/>
  </tableColumns>
  <tableStyleInfo name="06_QC2024_Phan_loai_anh-style 2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20" Type="http://schemas.openxmlformats.org/officeDocument/2006/relationships/hyperlink" Target="https://commons.wikimedia.org/wiki/File:Vietnam_road_sign_I448_3_(QCVN_41-2019-BGTVT).svg" TargetMode="External"/><Relationship Id="rId22" Type="http://schemas.openxmlformats.org/officeDocument/2006/relationships/hyperlink" Target="https://commons.wikimedia.org/w/index.php?search=Vietnam%20road%20sign%20S509&amp;title=Special:MediaSearch&amp;type=image" TargetMode="External"/><Relationship Id="rId21" Type="http://schemas.openxmlformats.org/officeDocument/2006/relationships/hyperlink" Target="https://commons.wikimedia.org/wiki/File:Vietnam_road_sign_I448_4_(QCVN_41-2019-BGTVT).svg" TargetMode="External"/><Relationship Id="rId24" Type="http://schemas.openxmlformats.org/officeDocument/2006/relationships/hyperlink" Target="https://commons.wikimedia.org/w/index.php?search=Vietnam%20road%20sign%20DP127d&amp;title=Special:MediaSearch&amp;type=image" TargetMode="External"/><Relationship Id="rId23" Type="http://schemas.openxmlformats.org/officeDocument/2006/relationships/hyperlink" Target="https://commons.wikimedia.org/wiki/File:Vietnam_road_sign_S510.svg" TargetMode="External"/><Relationship Id="rId1" Type="http://schemas.openxmlformats.org/officeDocument/2006/relationships/hyperlink" Target="https://commons.wikimedia.org/wiki/File:Vietnam_road_sign_P124a1.svg" TargetMode="External"/><Relationship Id="rId2" Type="http://schemas.openxmlformats.org/officeDocument/2006/relationships/hyperlink" Target="https://commons.wikimedia.org/wiki/File:Vietnam_road_sign_P124b1.svg" TargetMode="External"/><Relationship Id="rId3" Type="http://schemas.openxmlformats.org/officeDocument/2006/relationships/hyperlink" Target="https://commons.wikimedia.org/w/index.php?search=Vietnam%20road%20sign%20P127&amp;title=Special:MediaSearch&amp;type=image" TargetMode="External"/><Relationship Id="rId4" Type="http://schemas.openxmlformats.org/officeDocument/2006/relationships/hyperlink" Target="https://commons.wikimedia.org/wiki/File:Vietnam_road_sign_P.133_(QCVN_41-2024-BGTVT).svg" TargetMode="External"/><Relationship Id="rId9" Type="http://schemas.openxmlformats.org/officeDocument/2006/relationships/hyperlink" Target="https://commons.wikimedia.org/w/index.php?search=Vietnam%20road%20sign%20W239&amp;title=Special:MediaSearch&amp;type=image" TargetMode="External"/><Relationship Id="rId26" Type="http://schemas.openxmlformats.org/officeDocument/2006/relationships/hyperlink" Target="https://commons.wikimedia.org/wiki/File:Vietnam_road_sign_IE469a.svg" TargetMode="External"/><Relationship Id="rId25" Type="http://schemas.openxmlformats.org/officeDocument/2006/relationships/hyperlink" Target="https://commons.wikimedia.org/w/index.php?search=Vietnam%20road%20sign%20IE457b&amp;title=Special:MediaSearch&amp;type=image" TargetMode="External"/><Relationship Id="rId28" Type="http://schemas.openxmlformats.org/officeDocument/2006/relationships/drawing" Target="../drawings/drawing3.xml"/><Relationship Id="rId27" Type="http://schemas.openxmlformats.org/officeDocument/2006/relationships/hyperlink" Target="https://commons.wikimedia.org/wiki/File:Vietnam_road_sign_IE469b.svg" TargetMode="External"/><Relationship Id="rId5" Type="http://schemas.openxmlformats.org/officeDocument/2006/relationships/hyperlink" Target="https://commons.wikimedia.org/wiki/File:Vietnam_road_sign_P.134_(QCVN_41-2024-BGTVT).svg" TargetMode="External"/><Relationship Id="rId6" Type="http://schemas.openxmlformats.org/officeDocument/2006/relationships/hyperlink" Target="https://commons.wikimedia.org/wiki/File:Vietnam_road_sign_P135.svg" TargetMode="External"/><Relationship Id="rId7" Type="http://schemas.openxmlformats.org/officeDocument/2006/relationships/hyperlink" Target="https://commons.wikimedia.org/wiki/File:Vietnam_road_sign_W207k.svg" TargetMode="External"/><Relationship Id="rId8" Type="http://schemas.openxmlformats.org/officeDocument/2006/relationships/hyperlink" Target="https://commons.wikimedia.org/wiki/File:Vietnam_road_sign_W211a.svg" TargetMode="External"/><Relationship Id="rId11" Type="http://schemas.openxmlformats.org/officeDocument/2006/relationships/hyperlink" Target="https://bbgt.io.vn/bien-bao/r301h-huong-di-phai-theo-re-trai-va-re-phai" TargetMode="External"/><Relationship Id="rId10" Type="http://schemas.openxmlformats.org/officeDocument/2006/relationships/hyperlink" Target="https://commons.wikimedia.org/w/index.php?search=Vietnam%20road%20sign%20R122&amp;title=Special:MediaSearch&amp;type=image" TargetMode="External"/><Relationship Id="rId13" Type="http://schemas.openxmlformats.org/officeDocument/2006/relationships/hyperlink" Target="https://commons.wikimedia.org/w/index.php?search=Vietnam%20road%20sign%20R415&amp;title=Special:MediaSearch&amp;type=image" TargetMode="External"/><Relationship Id="rId12" Type="http://schemas.openxmlformats.org/officeDocument/2006/relationships/hyperlink" Target="https://commons.wikimedia.org/wiki/File:Vietnam_road_sign_R412l.svg" TargetMode="External"/><Relationship Id="rId15" Type="http://schemas.openxmlformats.org/officeDocument/2006/relationships/hyperlink" Target="https://commons.wikimedia.org/w/index.php?search=Vietnam%20road%20sign%20I428&amp;title=Special:MediaSearch&amp;type=image" TargetMode="External"/><Relationship Id="rId14" Type="http://schemas.openxmlformats.org/officeDocument/2006/relationships/hyperlink" Target="https://commons.wikimedia.org/w/index.php?search=Vietnam%20road%20sign%20I422&amp;title=Special:MediaSearch&amp;type=image" TargetMode="External"/><Relationship Id="rId17" Type="http://schemas.openxmlformats.org/officeDocument/2006/relationships/hyperlink" Target="https://commons.wikimedia.org/wiki/File:Vietnam_road_sign_I448.svg" TargetMode="External"/><Relationship Id="rId16" Type="http://schemas.openxmlformats.org/officeDocument/2006/relationships/hyperlink" Target="https://commons.wikimedia.org/wiki/File:Vietnam_road_sign_I428.svg" TargetMode="External"/><Relationship Id="rId19" Type="http://schemas.openxmlformats.org/officeDocument/2006/relationships/hyperlink" Target="https://commons.wikimedia.org/wiki/File:Vietnam_road_sign_I448_2_(QCVN_41-2019-BGTVT).svg" TargetMode="External"/><Relationship Id="rId18" Type="http://schemas.openxmlformats.org/officeDocument/2006/relationships/hyperlink" Target="https://commons.wikimedia.org/wiki/File:Vietnam_road_sign_I448_1_(QCVN_41-2019-BGTVT).svg" TargetMode="External"/></Relationships>
</file>

<file path=xl/worksheets/_rels/sheet4.xml.rels><?xml version="1.0" encoding="UTF-8" standalone="yes"?><Relationships xmlns="http://schemas.openxmlformats.org/package/2006/relationships"><Relationship Id="rId20" Type="http://schemas.openxmlformats.org/officeDocument/2006/relationships/hyperlink" Target="https://commons.wikimedia.org/wiki/File:Vietnam_road_sign_I448_3_(QCVN_41-2019-BGTVT).svg" TargetMode="External"/><Relationship Id="rId22" Type="http://schemas.openxmlformats.org/officeDocument/2006/relationships/hyperlink" Target="https://commons.wikimedia.org/wiki/File:Vietnam_road_sign_S510.svg" TargetMode="External"/><Relationship Id="rId21" Type="http://schemas.openxmlformats.org/officeDocument/2006/relationships/hyperlink" Target="https://commons.wikimedia.org/wiki/File:Vietnam_road_sign_I448_4_(QCVN_41-2019-BGTVT).svg" TargetMode="External"/><Relationship Id="rId24" Type="http://schemas.openxmlformats.org/officeDocument/2006/relationships/hyperlink" Target="https://commons.wikimedia.org/wiki/File:Vietnam_road_sign_IE469b.svg" TargetMode="External"/><Relationship Id="rId23" Type="http://schemas.openxmlformats.org/officeDocument/2006/relationships/hyperlink" Target="https://commons.wikimedia.org/wiki/File:Vietnam_road_sign_IE469a.svg" TargetMode="External"/><Relationship Id="rId1" Type="http://schemas.openxmlformats.org/officeDocument/2006/relationships/hyperlink" Target="https://commons.wikimedia.org/wiki/File:Vietnam_road_sign_P107.svg" TargetMode="External"/><Relationship Id="rId2" Type="http://schemas.openxmlformats.org/officeDocument/2006/relationships/hyperlink" Target="https://commons.wikimedia.org/wiki/File:Vietnam_road_sign_P111b.svg" TargetMode="External"/><Relationship Id="rId3" Type="http://schemas.openxmlformats.org/officeDocument/2006/relationships/hyperlink" Target="https://commons.wikimedia.org/wiki/File:Vietnam_road_sign_P111c.svg" TargetMode="External"/><Relationship Id="rId4" Type="http://schemas.openxmlformats.org/officeDocument/2006/relationships/hyperlink" Target="https://commons.wikimedia.org/wiki/File:Vietnam_road_sign_P124a1.svg" TargetMode="External"/><Relationship Id="rId9" Type="http://schemas.openxmlformats.org/officeDocument/2006/relationships/hyperlink" Target="https://commons.wikimedia.org/wiki/File:Vietnam_road_sign_W208.svg" TargetMode="External"/><Relationship Id="rId25" Type="http://schemas.openxmlformats.org/officeDocument/2006/relationships/drawing" Target="../drawings/drawing4.xml"/><Relationship Id="rId5" Type="http://schemas.openxmlformats.org/officeDocument/2006/relationships/hyperlink" Target="https://commons.wikimedia.org/wiki/File:Vietnam_road_sign_P124b1.svg" TargetMode="External"/><Relationship Id="rId6" Type="http://schemas.openxmlformats.org/officeDocument/2006/relationships/hyperlink" Target="https://commons.wikimedia.org/wiki/File:Vietnam_road_sign_P127a.svg" TargetMode="External"/><Relationship Id="rId7" Type="http://schemas.openxmlformats.org/officeDocument/2006/relationships/hyperlink" Target="https://commons.wikimedia.org/wiki/File:Vietnam_road_sign_P132.svg" TargetMode="External"/><Relationship Id="rId8" Type="http://schemas.openxmlformats.org/officeDocument/2006/relationships/hyperlink" Target="https://commons.wikimedia.org/wiki/File:Vietnam_road_sign_P133_V2.svg" TargetMode="External"/><Relationship Id="rId11" Type="http://schemas.openxmlformats.org/officeDocument/2006/relationships/hyperlink" Target="https://commons.wikimedia.org/wiki/File:Vietnam_road_sign_P122.svg" TargetMode="External"/><Relationship Id="rId10" Type="http://schemas.openxmlformats.org/officeDocument/2006/relationships/hyperlink" Target="https://commons.wikimedia.org/wiki/File:Vietnam_road_sign_W211a.svg" TargetMode="External"/><Relationship Id="rId13" Type="http://schemas.openxmlformats.org/officeDocument/2006/relationships/hyperlink" Target="https://bbgt.io.vn/bien-bao/r301h-huong-di-phai-theo-re-trai-va-re-phai" TargetMode="External"/><Relationship Id="rId12" Type="http://schemas.openxmlformats.org/officeDocument/2006/relationships/hyperlink" Target="https://commons.wikimedia.org/wiki/File:Vietnam_road_sign_R301a.svg" TargetMode="External"/><Relationship Id="rId15" Type="http://schemas.openxmlformats.org/officeDocument/2006/relationships/hyperlink" Target="https://commons.wikimedia.org/wiki/File:Vietnam_road_sign_R421.svg" TargetMode="External"/><Relationship Id="rId14" Type="http://schemas.openxmlformats.org/officeDocument/2006/relationships/hyperlink" Target="https://commons.wikimedia.org/wiki/File:Vietnam_road_sign_R412l.svg" TargetMode="External"/><Relationship Id="rId17" Type="http://schemas.openxmlformats.org/officeDocument/2006/relationships/hyperlink" Target="https://commons.wikimedia.org/wiki/File:Vietnam_road_sign_I448.svg" TargetMode="External"/><Relationship Id="rId16" Type="http://schemas.openxmlformats.org/officeDocument/2006/relationships/hyperlink" Target="https://commons.wikimedia.org/wiki/File:Vietnam_road_sign_I401.svg" TargetMode="External"/><Relationship Id="rId19" Type="http://schemas.openxmlformats.org/officeDocument/2006/relationships/hyperlink" Target="https://commons.wikimedia.org/wiki/File:Vietnam_road_sign_I448_2_(QCVN_41-2019-BGTVT).svg" TargetMode="External"/><Relationship Id="rId18" Type="http://schemas.openxmlformats.org/officeDocument/2006/relationships/hyperlink" Target="https://commons.wikimedia.org/wiki/File:Vietnam_road_sign_I448_1_(QCVN_41-2019-BGTVT).svg" TargetMode="Externa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Relationship Id="rId4" Type="http://schemas.openxmlformats.org/officeDocument/2006/relationships/table" Target="../tables/table1.xml"/><Relationship Id="rId5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2.63" defaultRowHeight="15.0"/>
  <cols>
    <col customWidth="1" min="1" max="1" width="33.0"/>
    <col customWidth="1" min="2" max="2" width="17.0"/>
    <col customWidth="1" min="3" max="3" width="3.0"/>
    <col customWidth="1" min="4" max="4" width="66.0"/>
    <col customWidth="1" min="5" max="8" width="8.63"/>
  </cols>
  <sheetData>
    <row r="1" ht="36.0" customHeight="1">
      <c r="A1" s="1" t="s">
        <v>0</v>
      </c>
      <c r="B1" s="1"/>
      <c r="C1" s="1"/>
      <c r="D1" s="1"/>
      <c r="E1" s="1"/>
      <c r="F1" s="1"/>
      <c r="G1" s="1"/>
      <c r="H1" s="1"/>
    </row>
    <row r="2" ht="13.5" customHeight="1"/>
    <row r="3" ht="27.75" customHeight="1">
      <c r="A3" s="2" t="s">
        <v>1</v>
      </c>
      <c r="B3" s="2" t="s">
        <v>2</v>
      </c>
      <c r="D3" s="2" t="s">
        <v>3</v>
      </c>
      <c r="E3" s="2"/>
      <c r="F3" s="2"/>
      <c r="G3" s="2"/>
      <c r="H3" s="2"/>
    </row>
    <row r="4" ht="33.75" customHeight="1">
      <c r="A4" s="3" t="s">
        <v>4</v>
      </c>
      <c r="B4" s="4">
        <f>'06_QC2024_Phan_loai_anh'!B9</f>
        <v>452</v>
      </c>
      <c r="D4" s="5" t="s">
        <v>5</v>
      </c>
    </row>
    <row r="5" ht="33.75" customHeight="1">
      <c r="A5" s="3" t="s">
        <v>6</v>
      </c>
      <c r="B5" s="4">
        <f>'06_QC2024_Phan_loai_anh'!B5</f>
        <v>4</v>
      </c>
      <c r="D5" s="5" t="s">
        <v>7</v>
      </c>
    </row>
    <row r="6" ht="33.75" customHeight="1">
      <c r="A6" s="3" t="s">
        <v>8</v>
      </c>
      <c r="B6" s="4">
        <f>'06_QC2024_Phan_loai_anh'!B6</f>
        <v>65</v>
      </c>
      <c r="D6" s="5" t="s">
        <v>9</v>
      </c>
    </row>
    <row r="7" ht="33.75" customHeight="1">
      <c r="A7" s="3" t="s">
        <v>10</v>
      </c>
      <c r="B7" s="4">
        <f>'06_QC2024_Phan_loai_anh'!B7</f>
        <v>261</v>
      </c>
      <c r="D7" s="5" t="s">
        <v>11</v>
      </c>
    </row>
    <row r="8" ht="33.75" customHeight="1">
      <c r="A8" s="3" t="s">
        <v>12</v>
      </c>
      <c r="B8" s="4">
        <f>'06_QC2024_Phan_loai_anh'!B8</f>
        <v>122</v>
      </c>
      <c r="D8" s="5" t="s">
        <v>13</v>
      </c>
    </row>
    <row r="9" ht="33.75" customHeight="1">
      <c r="A9" s="3" t="s">
        <v>14</v>
      </c>
      <c r="B9" s="4">
        <f>'06_QC2024_Phan_loai_anh'!E5</f>
        <v>387</v>
      </c>
      <c r="D9" s="5" t="s">
        <v>15</v>
      </c>
    </row>
    <row r="10" ht="33.75" customHeight="1">
      <c r="A10" s="3" t="s">
        <v>16</v>
      </c>
      <c r="B10" s="4">
        <f>'06_QC2024_Phan_loai_anh'!E6</f>
        <v>0</v>
      </c>
      <c r="D10" s="5" t="s">
        <v>17</v>
      </c>
    </row>
    <row r="11" ht="33.75" customHeight="1">
      <c r="A11" s="3" t="s">
        <v>18</v>
      </c>
      <c r="B11" s="4">
        <f>'06_QC2024_Phan_loai_anh'!E7</f>
        <v>65</v>
      </c>
      <c r="D11" s="5" t="s">
        <v>19</v>
      </c>
    </row>
    <row r="12" ht="33.75" customHeight="1">
      <c r="A12" s="3" t="s">
        <v>20</v>
      </c>
      <c r="B12" s="3">
        <v>431.0</v>
      </c>
      <c r="D12" s="6" t="s">
        <v>21</v>
      </c>
    </row>
    <row r="13" ht="33.75" customHeight="1">
      <c r="A13" s="3" t="s">
        <v>22</v>
      </c>
      <c r="B13" s="4">
        <f>B4+B12</f>
        <v>883</v>
      </c>
      <c r="D13" s="6" t="s">
        <v>23</v>
      </c>
    </row>
    <row r="14" ht="33.75" customHeight="1">
      <c r="A14" s="3" t="s">
        <v>24</v>
      </c>
      <c r="B14" s="3">
        <v>391.0</v>
      </c>
      <c r="D14" s="6" t="s">
        <v>25</v>
      </c>
    </row>
    <row r="15" ht="22.5" customHeight="1"/>
    <row r="16" ht="13.5" customHeight="1"/>
    <row r="17" ht="13.5" customHeight="1"/>
    <row r="18" ht="13.5" customHeight="1"/>
    <row r="19" ht="13.5" customHeight="1"/>
    <row r="20" ht="13.5" customHeight="1"/>
    <row r="21" ht="13.5" customHeight="1"/>
    <row r="22" ht="13.5" customHeight="1"/>
    <row r="23" ht="13.5" customHeight="1"/>
    <row r="24" ht="13.5" customHeight="1"/>
    <row r="25" ht="13.5" customHeight="1"/>
    <row r="26" ht="13.5" customHeight="1"/>
    <row r="27" ht="13.5" customHeight="1"/>
    <row r="28" ht="13.5" customHeight="1"/>
    <row r="29" ht="13.5" customHeight="1"/>
    <row r="30" ht="13.5" customHeight="1"/>
    <row r="31" ht="13.5" customHeight="1"/>
    <row r="32" ht="13.5" customHeight="1"/>
    <row r="33" ht="13.5" customHeight="1"/>
    <row r="34" ht="13.5" customHeight="1"/>
    <row r="35" ht="13.5" customHeight="1"/>
    <row r="36" ht="13.5" customHeight="1"/>
    <row r="37" ht="13.5" customHeight="1"/>
    <row r="38" ht="13.5" customHeight="1"/>
    <row r="39" ht="13.5" customHeight="1"/>
    <row r="40" ht="13.5" customHeight="1"/>
    <row r="41" ht="13.5" customHeight="1"/>
    <row r="42" ht="13.5" customHeight="1"/>
    <row r="43" ht="13.5" customHeight="1"/>
    <row r="44" ht="13.5" customHeight="1"/>
    <row r="45" ht="13.5" customHeight="1"/>
    <row r="46" ht="13.5" customHeight="1"/>
    <row r="47" ht="13.5" customHeight="1"/>
    <row r="48" ht="13.5" customHeight="1"/>
    <row r="49" ht="13.5" customHeight="1"/>
    <row r="50" ht="13.5" customHeight="1"/>
    <row r="51" ht="13.5" customHeight="1"/>
    <row r="52" ht="13.5" customHeight="1"/>
    <row r="53" ht="13.5" customHeight="1"/>
    <row r="54" ht="13.5" customHeight="1"/>
    <row r="55" ht="13.5" customHeight="1"/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35.0"/>
    <col customWidth="1" min="2" max="2" width="29.0"/>
    <col customWidth="1" min="3" max="3" width="17.0"/>
    <col customWidth="1" min="4" max="10" width="18.0"/>
    <col customWidth="1" min="11" max="11" width="17.0"/>
  </cols>
  <sheetData>
    <row r="1" ht="27.75" customHeight="1">
      <c r="A1" s="7" t="s">
        <v>26</v>
      </c>
      <c r="B1" s="7" t="s">
        <v>27</v>
      </c>
      <c r="C1" s="7" t="s">
        <v>28</v>
      </c>
      <c r="D1" s="7" t="s">
        <v>29</v>
      </c>
      <c r="E1" s="7" t="s">
        <v>30</v>
      </c>
      <c r="F1" s="7" t="s">
        <v>31</v>
      </c>
      <c r="G1" s="7" t="s">
        <v>32</v>
      </c>
      <c r="H1" s="7" t="s">
        <v>33</v>
      </c>
      <c r="I1" s="7" t="s">
        <v>34</v>
      </c>
      <c r="J1" s="7" t="s">
        <v>35</v>
      </c>
      <c r="K1" s="7" t="s">
        <v>36</v>
      </c>
    </row>
    <row r="2" ht="21.0" customHeight="1">
      <c r="A2" s="8" t="s">
        <v>37</v>
      </c>
      <c r="B2" s="8" t="s">
        <v>38</v>
      </c>
      <c r="C2" s="8">
        <v>80.0</v>
      </c>
      <c r="D2" s="8">
        <v>72.0</v>
      </c>
      <c r="E2" s="8">
        <v>8.0</v>
      </c>
      <c r="F2" s="8">
        <v>0.0</v>
      </c>
      <c r="G2" s="8">
        <v>72.0</v>
      </c>
      <c r="H2" s="8">
        <v>0.0</v>
      </c>
      <c r="I2" s="8">
        <v>8.0</v>
      </c>
      <c r="J2" s="8">
        <v>0.0</v>
      </c>
      <c r="K2" s="8">
        <v>75.0</v>
      </c>
    </row>
    <row r="3" ht="21.0" customHeight="1">
      <c r="A3" s="8" t="s">
        <v>39</v>
      </c>
      <c r="B3" s="8" t="s">
        <v>40</v>
      </c>
      <c r="C3" s="8">
        <v>99.0</v>
      </c>
      <c r="D3" s="8">
        <v>82.0</v>
      </c>
      <c r="E3" s="8">
        <v>17.0</v>
      </c>
      <c r="F3" s="8">
        <v>0.0</v>
      </c>
      <c r="G3" s="8">
        <v>82.0</v>
      </c>
      <c r="H3" s="8">
        <v>0.0</v>
      </c>
      <c r="I3" s="8">
        <v>17.0</v>
      </c>
      <c r="J3" s="8">
        <v>0.0</v>
      </c>
      <c r="K3" s="8">
        <v>84.0</v>
      </c>
    </row>
    <row r="4" ht="21.0" customHeight="1">
      <c r="A4" s="8" t="s">
        <v>41</v>
      </c>
      <c r="B4" s="8" t="s">
        <v>42</v>
      </c>
      <c r="C4" s="8">
        <v>70.0</v>
      </c>
      <c r="D4" s="8">
        <v>62.0</v>
      </c>
      <c r="E4" s="8">
        <v>8.0</v>
      </c>
      <c r="F4" s="8">
        <v>0.0</v>
      </c>
      <c r="G4" s="8">
        <v>62.0</v>
      </c>
      <c r="H4" s="8">
        <v>0.0</v>
      </c>
      <c r="I4" s="8">
        <v>8.0</v>
      </c>
      <c r="J4" s="8">
        <v>0.0</v>
      </c>
      <c r="K4" s="8">
        <v>62.0</v>
      </c>
    </row>
    <row r="5" ht="21.0" customHeight="1">
      <c r="A5" s="8" t="s">
        <v>43</v>
      </c>
      <c r="B5" s="8" t="s">
        <v>44</v>
      </c>
      <c r="C5" s="8">
        <v>112.0</v>
      </c>
      <c r="D5" s="8">
        <v>97.0</v>
      </c>
      <c r="E5" s="8">
        <v>15.0</v>
      </c>
      <c r="F5" s="8">
        <v>0.0</v>
      </c>
      <c r="G5" s="8">
        <v>97.0</v>
      </c>
      <c r="H5" s="8">
        <v>0.0</v>
      </c>
      <c r="I5" s="8">
        <v>15.0</v>
      </c>
      <c r="J5" s="8">
        <v>0.0</v>
      </c>
      <c r="K5" s="8">
        <v>97.0</v>
      </c>
    </row>
    <row r="6" ht="21.0" customHeight="1">
      <c r="A6" s="8" t="s">
        <v>45</v>
      </c>
      <c r="B6" s="8" t="s">
        <v>46</v>
      </c>
      <c r="C6" s="8">
        <v>25.0</v>
      </c>
      <c r="D6" s="8">
        <v>21.0</v>
      </c>
      <c r="E6" s="8">
        <v>4.0</v>
      </c>
      <c r="F6" s="8">
        <v>0.0</v>
      </c>
      <c r="G6" s="8">
        <v>21.0</v>
      </c>
      <c r="H6" s="8">
        <v>0.0</v>
      </c>
      <c r="I6" s="8">
        <v>4.0</v>
      </c>
      <c r="J6" s="8">
        <v>0.0</v>
      </c>
      <c r="K6" s="8">
        <v>21.0</v>
      </c>
    </row>
    <row r="7" ht="21.0" customHeight="1">
      <c r="A7" s="8" t="s">
        <v>47</v>
      </c>
      <c r="B7" s="8" t="s">
        <v>48</v>
      </c>
      <c r="C7" s="8">
        <v>7.0</v>
      </c>
      <c r="D7" s="8">
        <v>6.0</v>
      </c>
      <c r="E7" s="8">
        <v>1.0</v>
      </c>
      <c r="F7" s="8">
        <v>0.0</v>
      </c>
      <c r="G7" s="8">
        <v>6.0</v>
      </c>
      <c r="H7" s="8">
        <v>0.0</v>
      </c>
      <c r="I7" s="8">
        <v>1.0</v>
      </c>
      <c r="J7" s="8">
        <v>0.0</v>
      </c>
      <c r="K7" s="8">
        <v>6.0</v>
      </c>
    </row>
    <row r="8" ht="21.0" customHeight="1">
      <c r="A8" s="8" t="s">
        <v>49</v>
      </c>
      <c r="B8" s="8" t="s">
        <v>50</v>
      </c>
      <c r="C8" s="8">
        <v>59.0</v>
      </c>
      <c r="D8" s="8">
        <v>46.0</v>
      </c>
      <c r="E8" s="8">
        <v>13.0</v>
      </c>
      <c r="F8" s="8">
        <v>0.0</v>
      </c>
      <c r="G8" s="8">
        <v>46.0</v>
      </c>
      <c r="H8" s="8">
        <v>0.0</v>
      </c>
      <c r="I8" s="8">
        <v>13.0</v>
      </c>
      <c r="J8" s="8">
        <v>0.0</v>
      </c>
      <c r="K8" s="8">
        <v>46.0</v>
      </c>
    </row>
    <row r="9" ht="13.5" customHeight="1"/>
    <row r="10" ht="13.5" customHeight="1"/>
    <row r="11" ht="13.5" customHeight="1"/>
    <row r="12" ht="13.5" customHeight="1"/>
    <row r="13" ht="13.5" customHeight="1"/>
    <row r="14" ht="13.5" customHeight="1"/>
    <row r="15" ht="13.5" customHeight="1"/>
    <row r="16" ht="13.5" customHeight="1"/>
    <row r="17" ht="13.5" customHeight="1"/>
    <row r="18" ht="13.5" customHeight="1"/>
    <row r="19" ht="13.5" customHeight="1"/>
    <row r="20" ht="13.5" customHeight="1"/>
    <row r="21" ht="13.5" customHeight="1"/>
    <row r="22" ht="13.5" customHeight="1"/>
    <row r="23" ht="13.5" customHeight="1"/>
    <row r="24" ht="13.5" customHeight="1"/>
    <row r="25" ht="13.5" customHeight="1"/>
    <row r="26" ht="13.5" customHeight="1"/>
    <row r="27" ht="13.5" customHeight="1"/>
    <row r="28" ht="13.5" customHeight="1"/>
    <row r="29" ht="13.5" customHeight="1"/>
    <row r="30" ht="13.5" customHeight="1"/>
    <row r="31" ht="13.5" customHeight="1"/>
    <row r="32" ht="13.5" customHeight="1"/>
    <row r="33" ht="13.5" customHeight="1"/>
    <row r="34" ht="13.5" customHeight="1"/>
    <row r="35" ht="13.5" customHeight="1"/>
    <row r="36" ht="13.5" customHeight="1"/>
    <row r="37" ht="13.5" customHeight="1"/>
    <row r="38" ht="13.5" customHeight="1"/>
    <row r="39" ht="13.5" customHeight="1"/>
    <row r="40" ht="13.5" customHeight="1"/>
    <row r="41" ht="13.5" customHeight="1"/>
    <row r="42" ht="13.5" customHeight="1"/>
    <row r="43" ht="13.5" customHeight="1"/>
    <row r="44" ht="13.5" customHeight="1"/>
    <row r="45" ht="13.5" customHeight="1"/>
    <row r="46" ht="13.5" customHeight="1"/>
    <row r="47" ht="13.5" customHeight="1"/>
    <row r="48" ht="13.5" customHeight="1"/>
    <row r="49" ht="13.5" customHeight="1"/>
    <row r="50" ht="13.5" customHeight="1"/>
    <row r="51" ht="13.5" customHeight="1"/>
    <row r="52" ht="13.5" customHeight="1"/>
    <row r="53" ht="13.5" customHeight="1"/>
    <row r="54" ht="13.5" customHeight="1"/>
    <row r="55" ht="13.5" customHeight="1"/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8.63"/>
    <col customWidth="1" min="2" max="2" width="26.0"/>
    <col customWidth="1" min="3" max="3" width="14.0"/>
    <col customWidth="1" min="4" max="4" width="24.25"/>
    <col customWidth="1" min="5" max="5" width="39.0"/>
    <col customWidth="1" min="6" max="6" width="8.63"/>
    <col customWidth="1" min="7" max="7" width="11.5"/>
    <col customWidth="1" min="8" max="10" width="8.63"/>
    <col customWidth="1" min="11" max="11" width="84.75"/>
    <col customWidth="1" min="12" max="12" width="8.63"/>
    <col customWidth="1" min="13" max="13" width="62.0"/>
    <col customWidth="1" min="14" max="14" width="8.63"/>
    <col customWidth="1" min="15" max="15" width="61.0"/>
    <col customWidth="1" min="16" max="16" width="60.0"/>
    <col customWidth="1" min="17" max="26" width="8.63"/>
  </cols>
  <sheetData>
    <row r="1" ht="13.5" customHeight="1">
      <c r="A1" s="9" t="s">
        <v>51</v>
      </c>
      <c r="B1" s="10" t="s">
        <v>26</v>
      </c>
      <c r="C1" s="10" t="s">
        <v>52</v>
      </c>
      <c r="D1" s="10" t="s">
        <v>53</v>
      </c>
      <c r="E1" s="10" t="s">
        <v>54</v>
      </c>
      <c r="F1" s="10" t="s">
        <v>55</v>
      </c>
      <c r="G1" s="10" t="s">
        <v>56</v>
      </c>
      <c r="H1" s="10" t="s">
        <v>57</v>
      </c>
      <c r="I1" s="10" t="s">
        <v>58</v>
      </c>
      <c r="J1" s="10" t="s">
        <v>59</v>
      </c>
      <c r="K1" s="10" t="s">
        <v>60</v>
      </c>
      <c r="L1" s="10" t="s">
        <v>61</v>
      </c>
      <c r="M1" s="10" t="s">
        <v>62</v>
      </c>
      <c r="N1" s="10" t="s">
        <v>63</v>
      </c>
      <c r="O1" s="10" t="s">
        <v>64</v>
      </c>
      <c r="P1" s="10" t="s">
        <v>65</v>
      </c>
    </row>
    <row r="2" ht="13.5" customHeight="1">
      <c r="A2" s="11" t="s">
        <v>66</v>
      </c>
      <c r="B2" s="12" t="s">
        <v>67</v>
      </c>
      <c r="C2" s="12" t="s">
        <v>68</v>
      </c>
      <c r="D2" s="12"/>
      <c r="E2" s="12"/>
      <c r="F2" s="12"/>
      <c r="G2" s="12"/>
      <c r="H2" s="12"/>
      <c r="I2" s="12"/>
      <c r="J2" s="12"/>
      <c r="K2" s="13"/>
      <c r="L2" s="12"/>
      <c r="M2" s="12"/>
      <c r="N2" s="12"/>
      <c r="O2" s="12"/>
      <c r="P2" s="12" t="s">
        <v>69</v>
      </c>
    </row>
    <row r="3" ht="13.5" customHeight="1">
      <c r="A3" s="14"/>
      <c r="B3" s="15"/>
      <c r="C3" s="15"/>
      <c r="D3" s="15"/>
      <c r="E3" s="15"/>
      <c r="F3" s="15"/>
      <c r="G3" s="15"/>
      <c r="H3" s="15"/>
      <c r="I3" s="15"/>
      <c r="J3" s="15"/>
      <c r="K3" s="16"/>
      <c r="L3" s="15"/>
      <c r="M3" s="15"/>
      <c r="N3" s="15"/>
      <c r="O3" s="15"/>
      <c r="P3" s="15"/>
    </row>
    <row r="4" ht="13.5" customHeight="1">
      <c r="A4" s="14"/>
      <c r="B4" s="17"/>
      <c r="C4" s="17"/>
      <c r="D4" s="17"/>
      <c r="E4" s="17"/>
      <c r="F4" s="17"/>
      <c r="G4" s="17"/>
      <c r="H4" s="17"/>
      <c r="I4" s="17"/>
      <c r="J4" s="17"/>
      <c r="K4" s="18"/>
      <c r="L4" s="17"/>
      <c r="M4" s="17"/>
      <c r="N4" s="17"/>
      <c r="O4" s="17"/>
      <c r="P4" s="19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ht="13.5" customHeight="1">
      <c r="A5" s="14"/>
      <c r="B5" s="21"/>
      <c r="C5" s="21"/>
      <c r="D5" s="21"/>
      <c r="E5" s="21"/>
      <c r="F5" s="21"/>
      <c r="G5" s="21"/>
      <c r="H5" s="21"/>
      <c r="I5" s="21"/>
      <c r="J5" s="21"/>
      <c r="K5" s="22"/>
      <c r="L5" s="21"/>
      <c r="M5" s="21"/>
      <c r="N5" s="21"/>
      <c r="O5" s="21"/>
      <c r="P5" s="23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ht="13.5" customHeight="1">
      <c r="A6" s="14"/>
      <c r="B6" s="21"/>
      <c r="C6" s="21"/>
      <c r="D6" s="21"/>
      <c r="E6" s="21"/>
      <c r="F6" s="21"/>
      <c r="G6" s="21"/>
      <c r="H6" s="21"/>
      <c r="I6" s="21"/>
      <c r="J6" s="21"/>
      <c r="K6" s="22"/>
      <c r="L6" s="21"/>
      <c r="M6" s="21"/>
      <c r="N6" s="21"/>
      <c r="O6" s="21"/>
      <c r="P6" s="23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ht="13.5" customHeight="1">
      <c r="A7" s="14"/>
      <c r="B7" s="15"/>
      <c r="C7" s="15"/>
      <c r="D7" s="15"/>
      <c r="E7" s="15"/>
      <c r="F7" s="15"/>
      <c r="G7" s="15"/>
      <c r="H7" s="15"/>
      <c r="I7" s="15"/>
      <c r="J7" s="15"/>
      <c r="K7" s="16"/>
      <c r="L7" s="15"/>
      <c r="M7" s="15"/>
      <c r="N7" s="15"/>
      <c r="O7" s="15"/>
      <c r="P7" s="15"/>
    </row>
    <row r="8" ht="13.5" customHeight="1">
      <c r="A8" s="25"/>
      <c r="B8" s="15"/>
      <c r="C8" s="15"/>
      <c r="D8" s="15"/>
      <c r="E8" s="15"/>
      <c r="F8" s="15"/>
      <c r="G8" s="15"/>
      <c r="H8" s="15"/>
      <c r="I8" s="15"/>
      <c r="J8" s="15"/>
      <c r="K8" s="16"/>
      <c r="L8" s="15"/>
      <c r="M8" s="15"/>
      <c r="N8" s="15"/>
      <c r="O8" s="15"/>
      <c r="P8" s="15"/>
    </row>
    <row r="9" ht="13.5" customHeight="1">
      <c r="A9" s="25"/>
      <c r="B9" s="17"/>
      <c r="C9" s="17"/>
      <c r="D9" s="17"/>
      <c r="E9" s="17"/>
      <c r="F9" s="17"/>
      <c r="G9" s="17"/>
      <c r="H9" s="17"/>
      <c r="I9" s="17"/>
      <c r="J9" s="17"/>
      <c r="K9" s="26"/>
      <c r="L9" s="17"/>
      <c r="M9" s="17"/>
      <c r="N9" s="17"/>
      <c r="O9" s="17"/>
      <c r="P9" s="19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ht="13.5" customHeight="1">
      <c r="A10" s="25"/>
      <c r="B10" s="17"/>
      <c r="C10" s="17"/>
      <c r="D10" s="17"/>
      <c r="E10" s="17"/>
      <c r="F10" s="17"/>
      <c r="G10" s="17"/>
      <c r="H10" s="17"/>
      <c r="I10" s="17"/>
      <c r="J10" s="17"/>
      <c r="K10" s="18"/>
      <c r="L10" s="17"/>
      <c r="M10" s="17"/>
      <c r="N10" s="17"/>
      <c r="O10" s="17"/>
      <c r="P10" s="19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ht="13.5" customHeight="1">
      <c r="A11" s="25"/>
      <c r="B11" s="27"/>
      <c r="C11" s="27"/>
      <c r="D11" s="27"/>
      <c r="E11" s="27"/>
      <c r="F11" s="27"/>
      <c r="G11" s="27"/>
      <c r="H11" s="27"/>
      <c r="I11" s="27"/>
      <c r="J11" s="27"/>
      <c r="K11" s="28"/>
      <c r="L11" s="27"/>
      <c r="M11" s="27"/>
      <c r="N11" s="27"/>
      <c r="O11" s="27"/>
      <c r="P11" s="29"/>
      <c r="Q11" s="30"/>
      <c r="R11" s="30"/>
      <c r="S11" s="30"/>
      <c r="T11" s="30"/>
      <c r="U11" s="30"/>
      <c r="V11" s="30"/>
      <c r="W11" s="30"/>
      <c r="X11" s="30"/>
      <c r="Y11" s="30"/>
      <c r="Z11" s="30"/>
    </row>
    <row r="12" ht="13.5" customHeight="1">
      <c r="A12" s="25"/>
      <c r="B12" s="17"/>
      <c r="C12" s="17"/>
      <c r="D12" s="17"/>
      <c r="E12" s="17"/>
      <c r="F12" s="17"/>
      <c r="G12" s="17"/>
      <c r="H12" s="17"/>
      <c r="I12" s="17"/>
      <c r="J12" s="17"/>
      <c r="K12" s="18"/>
      <c r="L12" s="17"/>
      <c r="M12" s="17"/>
      <c r="N12" s="17"/>
      <c r="O12" s="17"/>
      <c r="P12" s="19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ht="13.5" customHeight="1">
      <c r="A13" s="25"/>
      <c r="B13" s="15"/>
      <c r="C13" s="15"/>
      <c r="D13" s="15"/>
      <c r="E13" s="15"/>
      <c r="F13" s="15"/>
      <c r="G13" s="15"/>
      <c r="H13" s="15"/>
      <c r="I13" s="15"/>
      <c r="J13" s="15"/>
      <c r="K13" s="16"/>
      <c r="L13" s="15"/>
      <c r="M13" s="15"/>
      <c r="N13" s="15"/>
      <c r="O13" s="15"/>
      <c r="P13" s="15"/>
    </row>
    <row r="14" ht="13.5" customHeight="1">
      <c r="A14" s="9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31"/>
      <c r="Q14" s="30"/>
      <c r="R14" s="30"/>
      <c r="S14" s="30"/>
      <c r="T14" s="30"/>
      <c r="U14" s="30"/>
      <c r="V14" s="30"/>
      <c r="W14" s="30"/>
      <c r="X14" s="30"/>
      <c r="Y14" s="30"/>
      <c r="Z14" s="30"/>
    </row>
    <row r="15" ht="13.5" customHeight="1">
      <c r="A15" s="9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32"/>
      <c r="Q15" s="30"/>
      <c r="R15" s="30"/>
      <c r="S15" s="30"/>
      <c r="T15" s="30"/>
      <c r="U15" s="30"/>
      <c r="V15" s="30"/>
      <c r="W15" s="30"/>
      <c r="X15" s="30"/>
      <c r="Y15" s="30"/>
      <c r="Z15" s="30"/>
    </row>
    <row r="16" ht="13.5" customHeight="1">
      <c r="A16" s="9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32"/>
      <c r="Q16" s="30"/>
      <c r="R16" s="30"/>
      <c r="S16" s="30"/>
      <c r="T16" s="30"/>
      <c r="U16" s="30"/>
      <c r="V16" s="30"/>
      <c r="W16" s="30"/>
      <c r="X16" s="30"/>
      <c r="Y16" s="30"/>
      <c r="Z16" s="30"/>
    </row>
    <row r="17" ht="13.5" customHeight="1">
      <c r="A17" s="9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32"/>
      <c r="Q17" s="30"/>
      <c r="R17" s="30"/>
      <c r="S17" s="30"/>
      <c r="T17" s="30"/>
      <c r="U17" s="30"/>
      <c r="V17" s="30"/>
      <c r="W17" s="30"/>
      <c r="X17" s="30"/>
      <c r="Y17" s="30"/>
      <c r="Z17" s="30"/>
    </row>
    <row r="18" ht="13.5" customHeight="1">
      <c r="A18" s="9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32"/>
      <c r="Q18" s="30"/>
      <c r="R18" s="30"/>
      <c r="S18" s="30"/>
      <c r="T18" s="30"/>
      <c r="U18" s="30"/>
      <c r="V18" s="30"/>
      <c r="W18" s="30"/>
      <c r="X18" s="30"/>
      <c r="Y18" s="30"/>
      <c r="Z18" s="30"/>
    </row>
    <row r="19" ht="13.5" customHeight="1">
      <c r="A19" s="9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32"/>
      <c r="Q19" s="30"/>
      <c r="R19" s="30"/>
      <c r="S19" s="30"/>
      <c r="T19" s="30"/>
      <c r="U19" s="30"/>
      <c r="V19" s="30"/>
      <c r="W19" s="30"/>
      <c r="X19" s="30"/>
      <c r="Y19" s="30"/>
      <c r="Z19" s="30"/>
    </row>
    <row r="20" ht="13.5" customHeight="1">
      <c r="A20" s="9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32"/>
      <c r="Q20" s="30"/>
      <c r="R20" s="30"/>
      <c r="S20" s="30"/>
      <c r="T20" s="30"/>
      <c r="U20" s="30"/>
      <c r="V20" s="30"/>
      <c r="W20" s="30"/>
      <c r="X20" s="30"/>
      <c r="Y20" s="30"/>
      <c r="Z20" s="30"/>
    </row>
    <row r="21" ht="13.5" customHeight="1">
      <c r="A21" s="9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33"/>
      <c r="Q21" s="30"/>
      <c r="R21" s="30"/>
      <c r="S21" s="30"/>
      <c r="T21" s="30"/>
      <c r="U21" s="30"/>
      <c r="V21" s="30"/>
      <c r="W21" s="30"/>
      <c r="X21" s="30"/>
      <c r="Y21" s="30"/>
      <c r="Z21" s="30"/>
    </row>
    <row r="22" ht="13.5" customHeight="1">
      <c r="A22" s="25"/>
      <c r="B22" s="17"/>
      <c r="C22" s="17"/>
      <c r="D22" s="17"/>
      <c r="E22" s="17"/>
      <c r="F22" s="17"/>
      <c r="G22" s="17"/>
      <c r="H22" s="17"/>
      <c r="I22" s="17"/>
      <c r="J22" s="17"/>
      <c r="K22" s="18"/>
      <c r="L22" s="17"/>
      <c r="M22" s="17"/>
      <c r="N22" s="17"/>
      <c r="O22" s="17"/>
      <c r="P22" s="19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ht="13.5" customHeight="1">
      <c r="A23" s="25"/>
      <c r="B23" s="17"/>
      <c r="C23" s="17"/>
      <c r="D23" s="17"/>
      <c r="E23" s="17"/>
      <c r="F23" s="17"/>
      <c r="G23" s="17"/>
      <c r="H23" s="17"/>
      <c r="I23" s="17"/>
      <c r="J23" s="17"/>
      <c r="K23" s="18"/>
      <c r="L23" s="17"/>
      <c r="M23" s="17"/>
      <c r="N23" s="17"/>
      <c r="O23" s="17"/>
      <c r="P23" s="19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ht="13.5" customHeight="1">
      <c r="A24" s="25"/>
      <c r="B24" s="17"/>
      <c r="C24" s="17"/>
      <c r="D24" s="17"/>
      <c r="E24" s="17"/>
      <c r="F24" s="17"/>
      <c r="G24" s="17"/>
      <c r="H24" s="17"/>
      <c r="I24" s="17"/>
      <c r="J24" s="17"/>
      <c r="K24" s="18"/>
      <c r="L24" s="17"/>
      <c r="M24" s="17"/>
      <c r="N24" s="17"/>
      <c r="O24" s="17"/>
      <c r="P24" s="19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ht="13.5" customHeight="1">
      <c r="A25" s="25"/>
      <c r="B25" s="17"/>
      <c r="C25" s="17"/>
      <c r="D25" s="17"/>
      <c r="E25" s="17"/>
      <c r="F25" s="17"/>
      <c r="G25" s="17"/>
      <c r="H25" s="17"/>
      <c r="I25" s="17"/>
      <c r="J25" s="17"/>
      <c r="K25" s="18"/>
      <c r="L25" s="17"/>
      <c r="M25" s="17"/>
      <c r="N25" s="17"/>
      <c r="O25" s="17"/>
      <c r="P25" s="17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ht="13.5" customHeight="1">
      <c r="A26" s="34"/>
      <c r="B26" s="17"/>
      <c r="C26" s="17"/>
      <c r="D26" s="17"/>
      <c r="E26" s="17"/>
      <c r="F26" s="17"/>
      <c r="G26" s="17"/>
      <c r="H26" s="17"/>
      <c r="I26" s="17"/>
      <c r="J26" s="17"/>
      <c r="K26" s="18"/>
      <c r="L26" s="17"/>
      <c r="M26" s="17"/>
      <c r="N26" s="17"/>
      <c r="O26" s="17"/>
      <c r="P26" s="17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ht="13.5" customHeight="1">
      <c r="A27" s="34"/>
      <c r="B27" s="17"/>
      <c r="C27" s="17"/>
      <c r="D27" s="17"/>
      <c r="E27" s="17"/>
      <c r="F27" s="17"/>
      <c r="G27" s="17"/>
      <c r="H27" s="17"/>
      <c r="I27" s="17"/>
      <c r="J27" s="17"/>
      <c r="K27" s="26"/>
      <c r="L27" s="17"/>
      <c r="M27" s="17"/>
      <c r="N27" s="17"/>
      <c r="O27" s="17"/>
      <c r="P27" s="35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ht="13.5" customHeight="1">
      <c r="A28" s="34"/>
      <c r="B28" s="17"/>
      <c r="C28" s="17"/>
      <c r="D28" s="17"/>
      <c r="E28" s="17"/>
      <c r="F28" s="17"/>
      <c r="G28" s="17"/>
      <c r="H28" s="17"/>
      <c r="I28" s="17"/>
      <c r="J28" s="17"/>
      <c r="K28" s="26"/>
      <c r="L28" s="17"/>
      <c r="M28" s="17"/>
      <c r="N28" s="17"/>
      <c r="O28" s="17"/>
      <c r="P28" s="32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ht="13.5" customHeight="1">
      <c r="A29" s="34"/>
      <c r="B29" s="17"/>
      <c r="C29" s="17"/>
      <c r="D29" s="17"/>
      <c r="E29" s="17"/>
      <c r="F29" s="17"/>
      <c r="G29" s="17"/>
      <c r="H29" s="17"/>
      <c r="I29" s="17"/>
      <c r="J29" s="17"/>
      <c r="K29" s="26"/>
      <c r="L29" s="17"/>
      <c r="M29" s="17"/>
      <c r="N29" s="17"/>
      <c r="O29" s="17"/>
      <c r="P29" s="32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ht="13.5" customHeight="1">
      <c r="A30" s="34"/>
      <c r="B30" s="17"/>
      <c r="C30" s="17"/>
      <c r="D30" s="17"/>
      <c r="E30" s="17"/>
      <c r="F30" s="17"/>
      <c r="G30" s="17"/>
      <c r="H30" s="17"/>
      <c r="I30" s="17"/>
      <c r="J30" s="17"/>
      <c r="K30" s="26"/>
      <c r="L30" s="17"/>
      <c r="M30" s="17"/>
      <c r="N30" s="17"/>
      <c r="O30" s="17"/>
      <c r="P30" s="33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ht="13.5" customHeight="1">
      <c r="A31" s="25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9"/>
      <c r="Q31" s="30"/>
      <c r="R31" s="30"/>
      <c r="S31" s="30"/>
      <c r="T31" s="30"/>
      <c r="U31" s="30"/>
      <c r="V31" s="30"/>
      <c r="W31" s="30"/>
      <c r="X31" s="30"/>
      <c r="Y31" s="30"/>
      <c r="Z31" s="30"/>
    </row>
    <row r="32" ht="13.5" customHeight="1">
      <c r="A32" s="25"/>
      <c r="B32" s="17"/>
      <c r="C32" s="17"/>
      <c r="D32" s="17"/>
      <c r="E32" s="17"/>
      <c r="F32" s="17"/>
      <c r="G32" s="17"/>
      <c r="H32" s="17"/>
      <c r="I32" s="17"/>
      <c r="J32" s="17"/>
      <c r="K32" s="18"/>
      <c r="L32" s="17"/>
      <c r="M32" s="17"/>
      <c r="N32" s="17"/>
      <c r="O32" s="17"/>
      <c r="P32" s="17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ht="13.5" customHeight="1">
      <c r="A33" s="14"/>
      <c r="B33" s="17"/>
      <c r="C33" s="17"/>
      <c r="D33" s="17"/>
      <c r="E33" s="17"/>
      <c r="F33" s="17"/>
      <c r="G33" s="17"/>
      <c r="H33" s="17"/>
      <c r="I33" s="17"/>
      <c r="J33" s="17"/>
      <c r="K33" s="18"/>
      <c r="L33" s="17"/>
      <c r="M33" s="17"/>
      <c r="N33" s="17"/>
      <c r="O33" s="17"/>
      <c r="P33" s="19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ht="13.5" customHeight="1">
      <c r="A34" s="25"/>
      <c r="B34" s="27"/>
      <c r="C34" s="27"/>
      <c r="D34" s="27"/>
      <c r="E34" s="27"/>
      <c r="F34" s="27"/>
      <c r="G34" s="27"/>
      <c r="H34" s="27"/>
      <c r="I34" s="27"/>
      <c r="J34" s="27"/>
      <c r="K34" s="28"/>
      <c r="L34" s="27"/>
      <c r="M34" s="27"/>
      <c r="N34" s="27"/>
      <c r="O34" s="27"/>
      <c r="P34" s="27"/>
      <c r="Q34" s="30"/>
      <c r="R34" s="30"/>
      <c r="S34" s="30"/>
      <c r="T34" s="30"/>
      <c r="U34" s="30"/>
      <c r="V34" s="30"/>
      <c r="W34" s="30"/>
      <c r="X34" s="30"/>
      <c r="Y34" s="30"/>
      <c r="Z34" s="30"/>
    </row>
    <row r="35" ht="13.5" customHeight="1">
      <c r="A35" s="36"/>
      <c r="B35" s="17"/>
      <c r="C35" s="17"/>
      <c r="D35" s="17"/>
      <c r="E35" s="17"/>
      <c r="F35" s="17"/>
      <c r="G35" s="17"/>
      <c r="H35" s="17"/>
      <c r="I35" s="17"/>
      <c r="J35" s="17"/>
      <c r="K35" s="18"/>
      <c r="L35" s="17"/>
      <c r="M35" s="17"/>
      <c r="N35" s="17"/>
      <c r="O35" s="17"/>
      <c r="P35" s="17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ht="13.5" customHeight="1">
      <c r="A36" s="36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ht="13.5" customHeight="1">
      <c r="A37" s="36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ht="13.5" customHeight="1">
      <c r="A38" s="36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ht="13.5" customHeight="1">
      <c r="A39" s="36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ht="13.5" customHeight="1">
      <c r="A40" s="36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ht="13.5" customHeight="1">
      <c r="A41" s="36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ht="13.5" customHeight="1">
      <c r="A42" s="36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ht="13.5" customHeight="1">
      <c r="A43" s="36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ht="13.5" customHeight="1">
      <c r="A44" s="36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ht="13.5" customHeight="1">
      <c r="A45" s="36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ht="13.5" customHeight="1">
      <c r="A46" s="36"/>
      <c r="B46" s="15"/>
      <c r="C46" s="15"/>
      <c r="D46" s="15"/>
      <c r="E46" s="15"/>
      <c r="F46" s="15"/>
      <c r="G46" s="15"/>
      <c r="H46" s="15"/>
      <c r="I46" s="15"/>
      <c r="J46" s="15"/>
      <c r="K46" s="37"/>
      <c r="L46" s="15"/>
      <c r="M46" s="15"/>
      <c r="N46" s="15"/>
      <c r="O46" s="15"/>
      <c r="P46" s="15"/>
    </row>
    <row r="47" ht="13.5" customHeight="1">
      <c r="A47" s="36"/>
      <c r="B47" s="15"/>
      <c r="C47" s="15"/>
      <c r="D47" s="15"/>
      <c r="E47" s="15"/>
      <c r="F47" s="15"/>
      <c r="G47" s="15"/>
      <c r="H47" s="15"/>
      <c r="I47" s="15"/>
      <c r="J47" s="15"/>
      <c r="K47" s="37"/>
      <c r="L47" s="15"/>
      <c r="M47" s="15"/>
      <c r="N47" s="15"/>
      <c r="O47" s="15"/>
      <c r="P47" s="15"/>
    </row>
    <row r="48" ht="13.5" customHeight="1">
      <c r="A48" s="36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ht="13.5" customHeight="1">
      <c r="A49" s="36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ht="13.5" customHeight="1"/>
    <row r="51" ht="13.5" customHeight="1"/>
    <row r="52" ht="13.5" customHeight="1"/>
    <row r="53" ht="13.5" customHeight="1"/>
    <row r="54" ht="13.5" customHeight="1"/>
    <row r="55" ht="13.5" customHeight="1"/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P14:P21"/>
    <mergeCell ref="P27:P30"/>
  </mergeCells>
  <hyperlinks>
    <hyperlink r:id="rId1" ref="K2"/>
    <hyperlink r:id="rId2" ref="K3"/>
    <hyperlink r:id="rId3" ref="K4"/>
    <hyperlink r:id="rId4" ref="K5"/>
    <hyperlink r:id="rId5" ref="K6"/>
    <hyperlink r:id="rId6" ref="K7"/>
    <hyperlink r:id="rId7" ref="K8"/>
    <hyperlink r:id="rId8" ref="K9"/>
    <hyperlink r:id="rId9" ref="K10"/>
    <hyperlink r:id="rId10" ref="K11"/>
    <hyperlink r:id="rId11" ref="K12"/>
    <hyperlink r:id="rId12" ref="K13"/>
    <hyperlink r:id="rId13" ref="K22"/>
    <hyperlink r:id="rId14" ref="K23"/>
    <hyperlink r:id="rId15" ref="K24"/>
    <hyperlink r:id="rId16" ref="K25"/>
    <hyperlink r:id="rId17" ref="K26"/>
    <hyperlink r:id="rId18" ref="K27"/>
    <hyperlink r:id="rId19" ref="K28"/>
    <hyperlink r:id="rId20" ref="K29"/>
    <hyperlink r:id="rId21" ref="K30"/>
    <hyperlink r:id="rId22" ref="K32"/>
    <hyperlink r:id="rId23" ref="K33"/>
    <hyperlink r:id="rId24" ref="K34"/>
    <hyperlink r:id="rId25" ref="K35"/>
    <hyperlink r:id="rId26" ref="K46"/>
    <hyperlink r:id="rId27" ref="K47"/>
  </hyperlinks>
  <printOptions/>
  <pageMargins bottom="0.75" footer="0.0" header="0.0" left="0.7" right="0.7" top="0.75"/>
  <pageSetup orientation="landscape"/>
  <drawing r:id="rId28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0.5"/>
    <col customWidth="1" min="2" max="2" width="28.38"/>
    <col customWidth="1" min="3" max="3" width="14.75"/>
    <col customWidth="1" min="4" max="4" width="15.13"/>
    <col customWidth="1" min="5" max="5" width="45.13"/>
    <col customWidth="1" min="6" max="6" width="27.13"/>
    <col customWidth="1" min="7" max="7" width="60.0"/>
    <col customWidth="1" min="8" max="8" width="27.0"/>
    <col customWidth="1" min="9" max="9" width="26.0"/>
    <col customWidth="1" min="10" max="10" width="47.88"/>
    <col customWidth="1" min="11" max="11" width="78.0"/>
    <col customWidth="1" min="12" max="17" width="8.63"/>
  </cols>
  <sheetData>
    <row r="1" ht="27.75" customHeight="1">
      <c r="A1" s="38" t="s">
        <v>70</v>
      </c>
      <c r="B1" s="39" t="s">
        <v>71</v>
      </c>
      <c r="C1" s="39" t="s">
        <v>72</v>
      </c>
      <c r="D1" s="38" t="s">
        <v>55</v>
      </c>
      <c r="E1" s="39" t="s">
        <v>73</v>
      </c>
      <c r="F1" s="38" t="s">
        <v>74</v>
      </c>
      <c r="G1" s="39" t="s">
        <v>75</v>
      </c>
      <c r="H1" s="38" t="s">
        <v>76</v>
      </c>
      <c r="I1" s="38" t="s">
        <v>77</v>
      </c>
      <c r="J1" s="38" t="s">
        <v>65</v>
      </c>
      <c r="K1" s="2" t="s">
        <v>78</v>
      </c>
    </row>
    <row r="2" ht="21.0" customHeight="1">
      <c r="A2" s="40">
        <v>1.0</v>
      </c>
      <c r="B2" s="40" t="s">
        <v>37</v>
      </c>
      <c r="C2" s="40" t="s">
        <v>79</v>
      </c>
      <c r="D2" s="40"/>
      <c r="E2" s="40" t="s">
        <v>80</v>
      </c>
      <c r="F2" s="40" t="s">
        <v>81</v>
      </c>
      <c r="G2" s="40" t="s">
        <v>82</v>
      </c>
      <c r="H2" s="40" t="s">
        <v>83</v>
      </c>
      <c r="I2" s="40" t="s">
        <v>84</v>
      </c>
      <c r="J2" s="40"/>
      <c r="K2" s="41" t="s">
        <v>85</v>
      </c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</row>
    <row r="3" ht="21.0" customHeight="1">
      <c r="A3" s="40">
        <v>2.0</v>
      </c>
      <c r="B3" s="40" t="s">
        <v>37</v>
      </c>
      <c r="C3" s="40" t="s">
        <v>86</v>
      </c>
      <c r="D3" s="40"/>
      <c r="E3" s="40" t="s">
        <v>87</v>
      </c>
      <c r="F3" s="40" t="s">
        <v>88</v>
      </c>
      <c r="G3" s="40" t="s">
        <v>89</v>
      </c>
      <c r="H3" s="40" t="s">
        <v>90</v>
      </c>
      <c r="I3" s="40" t="s">
        <v>91</v>
      </c>
      <c r="J3" s="40"/>
      <c r="K3" s="41" t="s">
        <v>92</v>
      </c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</row>
    <row r="4" ht="21.0" customHeight="1">
      <c r="A4" s="40">
        <v>3.0</v>
      </c>
      <c r="B4" s="40" t="s">
        <v>37</v>
      </c>
      <c r="C4" s="40" t="s">
        <v>93</v>
      </c>
      <c r="D4" s="40" t="s">
        <v>94</v>
      </c>
      <c r="E4" s="40" t="s">
        <v>95</v>
      </c>
      <c r="F4" s="40" t="s">
        <v>96</v>
      </c>
      <c r="G4" s="40" t="s">
        <v>97</v>
      </c>
      <c r="H4" s="40" t="s">
        <v>98</v>
      </c>
      <c r="I4" s="40" t="s">
        <v>99</v>
      </c>
      <c r="J4" s="40"/>
      <c r="K4" s="41" t="s">
        <v>100</v>
      </c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</row>
    <row r="5" ht="21.0" customHeight="1">
      <c r="A5" s="40">
        <v>4.0</v>
      </c>
      <c r="B5" s="40" t="s">
        <v>37</v>
      </c>
      <c r="C5" s="40" t="s">
        <v>101</v>
      </c>
      <c r="D5" s="40" t="s">
        <v>94</v>
      </c>
      <c r="E5" s="40" t="s">
        <v>102</v>
      </c>
      <c r="F5" s="40" t="s">
        <v>103</v>
      </c>
      <c r="G5" s="40" t="s">
        <v>104</v>
      </c>
      <c r="H5" s="40" t="s">
        <v>105</v>
      </c>
      <c r="I5" s="40" t="s">
        <v>106</v>
      </c>
      <c r="J5" s="40"/>
      <c r="K5" s="41" t="s">
        <v>107</v>
      </c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</row>
    <row r="6" ht="21.0" customHeight="1">
      <c r="A6" s="40">
        <v>5.0</v>
      </c>
      <c r="B6" s="40" t="s">
        <v>37</v>
      </c>
      <c r="C6" s="40" t="s">
        <v>108</v>
      </c>
      <c r="D6" s="40" t="s">
        <v>94</v>
      </c>
      <c r="E6" s="40" t="s">
        <v>109</v>
      </c>
      <c r="F6" s="40" t="s">
        <v>110</v>
      </c>
      <c r="G6" s="40" t="s">
        <v>111</v>
      </c>
      <c r="H6" s="40" t="s">
        <v>112</v>
      </c>
      <c r="I6" s="40" t="s">
        <v>113</v>
      </c>
      <c r="J6" s="40"/>
      <c r="K6" s="41" t="s">
        <v>114</v>
      </c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</row>
    <row r="7" ht="21.0" customHeight="1">
      <c r="A7" s="40">
        <v>6.0</v>
      </c>
      <c r="B7" s="40" t="s">
        <v>37</v>
      </c>
      <c r="C7" s="40" t="s">
        <v>115</v>
      </c>
      <c r="D7" s="40"/>
      <c r="E7" s="40" t="s">
        <v>116</v>
      </c>
      <c r="F7" s="40" t="s">
        <v>117</v>
      </c>
      <c r="G7" s="40" t="s">
        <v>118</v>
      </c>
      <c r="H7" s="40" t="s">
        <v>119</v>
      </c>
      <c r="I7" s="40" t="s">
        <v>120</v>
      </c>
      <c r="J7" s="40"/>
      <c r="K7" s="41" t="s">
        <v>121</v>
      </c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</row>
    <row r="8" ht="21.0" customHeight="1">
      <c r="A8" s="40">
        <v>7.0</v>
      </c>
      <c r="B8" s="40" t="s">
        <v>37</v>
      </c>
      <c r="C8" s="40" t="s">
        <v>122</v>
      </c>
      <c r="D8" s="40"/>
      <c r="E8" s="40" t="s">
        <v>123</v>
      </c>
      <c r="F8" s="40" t="s">
        <v>124</v>
      </c>
      <c r="G8" s="40" t="s">
        <v>125</v>
      </c>
      <c r="H8" s="40" t="s">
        <v>126</v>
      </c>
      <c r="I8" s="40" t="s">
        <v>127</v>
      </c>
      <c r="J8" s="40"/>
      <c r="K8" s="41" t="s">
        <v>128</v>
      </c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</row>
    <row r="9" ht="21.0" customHeight="1">
      <c r="A9" s="40">
        <v>8.0</v>
      </c>
      <c r="B9" s="40" t="s">
        <v>37</v>
      </c>
      <c r="C9" s="40" t="s">
        <v>129</v>
      </c>
      <c r="D9" s="40" t="s">
        <v>130</v>
      </c>
      <c r="E9" s="40" t="s">
        <v>131</v>
      </c>
      <c r="F9" s="40" t="s">
        <v>132</v>
      </c>
      <c r="G9" s="40" t="s">
        <v>133</v>
      </c>
      <c r="H9" s="40" t="s">
        <v>134</v>
      </c>
      <c r="I9" s="40" t="s">
        <v>135</v>
      </c>
      <c r="J9" s="40"/>
      <c r="K9" s="41" t="s">
        <v>136</v>
      </c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</row>
    <row r="10" ht="21.0" customHeight="1">
      <c r="A10" s="40">
        <v>9.0</v>
      </c>
      <c r="B10" s="40" t="s">
        <v>37</v>
      </c>
      <c r="C10" s="40" t="s">
        <v>137</v>
      </c>
      <c r="D10" s="40" t="s">
        <v>130</v>
      </c>
      <c r="E10" s="40" t="s">
        <v>131</v>
      </c>
      <c r="F10" s="40" t="s">
        <v>138</v>
      </c>
      <c r="G10" s="40" t="s">
        <v>139</v>
      </c>
      <c r="H10" s="40" t="s">
        <v>140</v>
      </c>
      <c r="I10" s="40" t="s">
        <v>141</v>
      </c>
      <c r="J10" s="40"/>
      <c r="K10" s="41" t="s">
        <v>142</v>
      </c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</row>
    <row r="11" ht="21.0" customHeight="1">
      <c r="A11" s="40">
        <v>10.0</v>
      </c>
      <c r="B11" s="40" t="s">
        <v>37</v>
      </c>
      <c r="C11" s="40" t="s">
        <v>143</v>
      </c>
      <c r="D11" s="40" t="s">
        <v>130</v>
      </c>
      <c r="E11" s="40" t="s">
        <v>144</v>
      </c>
      <c r="F11" s="40" t="s">
        <v>145</v>
      </c>
      <c r="G11" s="40" t="s">
        <v>146</v>
      </c>
      <c r="H11" s="40" t="s">
        <v>147</v>
      </c>
      <c r="I11" s="40" t="s">
        <v>148</v>
      </c>
      <c r="J11" s="40"/>
      <c r="K11" s="41" t="s">
        <v>149</v>
      </c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</row>
    <row r="12" ht="21.0" customHeight="1">
      <c r="A12" s="40">
        <v>11.0</v>
      </c>
      <c r="B12" s="43" t="s">
        <v>37</v>
      </c>
      <c r="C12" s="43" t="s">
        <v>150</v>
      </c>
      <c r="D12" s="43" t="s">
        <v>150</v>
      </c>
      <c r="E12" s="43" t="s">
        <v>151</v>
      </c>
      <c r="F12" s="43" t="s">
        <v>152</v>
      </c>
      <c r="G12" s="44" t="s">
        <v>153</v>
      </c>
      <c r="H12" s="43" t="s">
        <v>154</v>
      </c>
      <c r="I12" s="43" t="s">
        <v>155</v>
      </c>
      <c r="J12" s="45" t="s">
        <v>156</v>
      </c>
      <c r="K12" s="46" t="s">
        <v>157</v>
      </c>
      <c r="L12" s="46"/>
      <c r="M12" s="46"/>
      <c r="N12" s="46"/>
      <c r="O12" s="46"/>
      <c r="P12" s="46"/>
      <c r="Q12" s="46"/>
      <c r="R12" s="42"/>
      <c r="S12" s="42"/>
      <c r="T12" s="42"/>
      <c r="U12" s="42"/>
      <c r="V12" s="42"/>
      <c r="W12" s="42"/>
      <c r="X12" s="42"/>
      <c r="Y12" s="42"/>
    </row>
    <row r="13" ht="21.0" customHeight="1">
      <c r="A13" s="40">
        <v>12.0</v>
      </c>
      <c r="B13" s="40" t="s">
        <v>37</v>
      </c>
      <c r="C13" s="40" t="s">
        <v>158</v>
      </c>
      <c r="D13" s="40" t="s">
        <v>150</v>
      </c>
      <c r="E13" s="40" t="s">
        <v>159</v>
      </c>
      <c r="F13" s="40" t="s">
        <v>160</v>
      </c>
      <c r="G13" s="40" t="s">
        <v>161</v>
      </c>
      <c r="H13" s="40" t="s">
        <v>162</v>
      </c>
      <c r="I13" s="40" t="s">
        <v>163</v>
      </c>
      <c r="J13" s="40"/>
      <c r="K13" s="41" t="s">
        <v>164</v>
      </c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</row>
    <row r="14" ht="21.0" customHeight="1">
      <c r="A14" s="40">
        <v>13.0</v>
      </c>
      <c r="B14" s="40" t="s">
        <v>37</v>
      </c>
      <c r="C14" s="40" t="s">
        <v>165</v>
      </c>
      <c r="D14" s="40" t="s">
        <v>150</v>
      </c>
      <c r="E14" s="40" t="s">
        <v>166</v>
      </c>
      <c r="F14" s="40" t="s">
        <v>167</v>
      </c>
      <c r="G14" s="40" t="s">
        <v>168</v>
      </c>
      <c r="H14" s="40" t="s">
        <v>169</v>
      </c>
      <c r="I14" s="40" t="s">
        <v>170</v>
      </c>
      <c r="J14" s="40"/>
      <c r="K14" s="41" t="s">
        <v>171</v>
      </c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</row>
    <row r="15" ht="21.0" customHeight="1">
      <c r="A15" s="40">
        <v>14.0</v>
      </c>
      <c r="B15" s="43" t="s">
        <v>37</v>
      </c>
      <c r="C15" s="43" t="s">
        <v>172</v>
      </c>
      <c r="D15" s="43" t="s">
        <v>172</v>
      </c>
      <c r="E15" s="43" t="s">
        <v>173</v>
      </c>
      <c r="F15" s="43" t="s">
        <v>174</v>
      </c>
      <c r="G15" s="43" t="s">
        <v>175</v>
      </c>
      <c r="H15" s="43" t="s">
        <v>176</v>
      </c>
      <c r="I15" s="43" t="s">
        <v>177</v>
      </c>
      <c r="J15" s="45" t="s">
        <v>156</v>
      </c>
      <c r="K15" s="46" t="s">
        <v>178</v>
      </c>
      <c r="L15" s="46"/>
      <c r="M15" s="46"/>
      <c r="N15" s="46"/>
      <c r="O15" s="46"/>
      <c r="P15" s="46"/>
      <c r="Q15" s="46"/>
      <c r="R15" s="42"/>
      <c r="S15" s="42"/>
      <c r="T15" s="42"/>
      <c r="U15" s="42"/>
      <c r="V15" s="42"/>
      <c r="W15" s="42"/>
      <c r="X15" s="42"/>
      <c r="Y15" s="42"/>
    </row>
    <row r="16" ht="21.0" customHeight="1">
      <c r="A16" s="40">
        <v>15.0</v>
      </c>
      <c r="B16" s="40" t="s">
        <v>37</v>
      </c>
      <c r="C16" s="40" t="s">
        <v>179</v>
      </c>
      <c r="D16" s="40" t="s">
        <v>172</v>
      </c>
      <c r="E16" s="40" t="s">
        <v>180</v>
      </c>
      <c r="F16" s="40" t="s">
        <v>181</v>
      </c>
      <c r="G16" s="40" t="s">
        <v>182</v>
      </c>
      <c r="H16" s="40" t="s">
        <v>183</v>
      </c>
      <c r="I16" s="40" t="s">
        <v>184</v>
      </c>
      <c r="J16" s="40"/>
      <c r="K16" s="41" t="s">
        <v>185</v>
      </c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</row>
    <row r="17" ht="21.0" customHeight="1">
      <c r="A17" s="40">
        <v>16.0</v>
      </c>
      <c r="B17" s="40" t="s">
        <v>37</v>
      </c>
      <c r="C17" s="40" t="s">
        <v>186</v>
      </c>
      <c r="D17" s="40"/>
      <c r="E17" s="40" t="s">
        <v>187</v>
      </c>
      <c r="F17" s="40" t="s">
        <v>188</v>
      </c>
      <c r="G17" s="40" t="s">
        <v>189</v>
      </c>
      <c r="H17" s="40" t="s">
        <v>190</v>
      </c>
      <c r="I17" s="40" t="s">
        <v>191</v>
      </c>
      <c r="J17" s="40"/>
      <c r="K17" s="41" t="s">
        <v>192</v>
      </c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</row>
    <row r="18" ht="21.0" customHeight="1">
      <c r="A18" s="40">
        <v>17.0</v>
      </c>
      <c r="B18" s="40" t="s">
        <v>37</v>
      </c>
      <c r="C18" s="40" t="s">
        <v>193</v>
      </c>
      <c r="D18" s="40" t="s">
        <v>194</v>
      </c>
      <c r="E18" s="40" t="s">
        <v>195</v>
      </c>
      <c r="F18" s="40" t="s">
        <v>196</v>
      </c>
      <c r="G18" s="40" t="s">
        <v>197</v>
      </c>
      <c r="H18" s="40" t="s">
        <v>198</v>
      </c>
      <c r="I18" s="40" t="s">
        <v>199</v>
      </c>
      <c r="J18" s="40"/>
      <c r="K18" s="41" t="s">
        <v>200</v>
      </c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</row>
    <row r="19" ht="21.0" customHeight="1">
      <c r="A19" s="40">
        <v>18.0</v>
      </c>
      <c r="B19" s="40" t="s">
        <v>37</v>
      </c>
      <c r="C19" s="40" t="s">
        <v>201</v>
      </c>
      <c r="D19" s="40" t="s">
        <v>194</v>
      </c>
      <c r="E19" s="40" t="s">
        <v>202</v>
      </c>
      <c r="F19" s="40" t="s">
        <v>203</v>
      </c>
      <c r="G19" s="40" t="s">
        <v>204</v>
      </c>
      <c r="H19" s="40" t="s">
        <v>205</v>
      </c>
      <c r="I19" s="40" t="s">
        <v>206</v>
      </c>
      <c r="J19" s="40"/>
      <c r="K19" s="41" t="s">
        <v>207</v>
      </c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</row>
    <row r="20" ht="21.0" customHeight="1">
      <c r="A20" s="40">
        <v>19.0</v>
      </c>
      <c r="B20" s="40" t="s">
        <v>37</v>
      </c>
      <c r="C20" s="40" t="s">
        <v>208</v>
      </c>
      <c r="D20" s="40" t="s">
        <v>209</v>
      </c>
      <c r="E20" s="40" t="s">
        <v>210</v>
      </c>
      <c r="F20" s="40" t="s">
        <v>211</v>
      </c>
      <c r="G20" s="40" t="s">
        <v>212</v>
      </c>
      <c r="H20" s="40" t="s">
        <v>213</v>
      </c>
      <c r="I20" s="40" t="s">
        <v>214</v>
      </c>
      <c r="J20" s="40"/>
      <c r="K20" s="41" t="s">
        <v>215</v>
      </c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</row>
    <row r="21" ht="21.0" customHeight="1">
      <c r="A21" s="40">
        <v>20.0</v>
      </c>
      <c r="B21" s="43" t="s">
        <v>37</v>
      </c>
      <c r="C21" s="43" t="s">
        <v>216</v>
      </c>
      <c r="D21" s="43" t="s">
        <v>209</v>
      </c>
      <c r="E21" s="43" t="s">
        <v>217</v>
      </c>
      <c r="F21" s="43" t="s">
        <v>218</v>
      </c>
      <c r="G21" s="44" t="s">
        <v>219</v>
      </c>
      <c r="H21" s="43" t="s">
        <v>220</v>
      </c>
      <c r="I21" s="43" t="s">
        <v>221</v>
      </c>
      <c r="J21" s="43" t="s">
        <v>222</v>
      </c>
      <c r="K21" s="46" t="s">
        <v>223</v>
      </c>
      <c r="L21" s="46"/>
      <c r="M21" s="46"/>
      <c r="N21" s="46"/>
      <c r="O21" s="46"/>
      <c r="P21" s="46"/>
      <c r="Q21" s="46"/>
      <c r="R21" s="42"/>
      <c r="S21" s="42"/>
      <c r="T21" s="42"/>
      <c r="U21" s="42"/>
      <c r="V21" s="42"/>
      <c r="W21" s="42"/>
      <c r="X21" s="42"/>
      <c r="Y21" s="42"/>
    </row>
    <row r="22" ht="21.0" customHeight="1">
      <c r="A22" s="40">
        <v>21.0</v>
      </c>
      <c r="B22" s="43" t="s">
        <v>37</v>
      </c>
      <c r="C22" s="43" t="s">
        <v>224</v>
      </c>
      <c r="D22" s="43" t="s">
        <v>209</v>
      </c>
      <c r="E22" s="43" t="s">
        <v>217</v>
      </c>
      <c r="F22" s="43" t="s">
        <v>225</v>
      </c>
      <c r="G22" s="44" t="s">
        <v>226</v>
      </c>
      <c r="H22" s="43" t="s">
        <v>227</v>
      </c>
      <c r="I22" s="43" t="s">
        <v>228</v>
      </c>
      <c r="J22" s="43"/>
      <c r="K22" s="46" t="s">
        <v>229</v>
      </c>
      <c r="L22" s="46"/>
      <c r="M22" s="46"/>
      <c r="N22" s="46"/>
      <c r="O22" s="46"/>
      <c r="P22" s="46"/>
      <c r="Q22" s="46"/>
      <c r="R22" s="42"/>
      <c r="S22" s="42"/>
      <c r="T22" s="42"/>
      <c r="U22" s="42"/>
      <c r="V22" s="42"/>
      <c r="W22" s="42"/>
      <c r="X22" s="42"/>
      <c r="Y22" s="42"/>
    </row>
    <row r="23" ht="21.0" customHeight="1">
      <c r="A23" s="40">
        <v>22.0</v>
      </c>
      <c r="B23" s="40" t="s">
        <v>37</v>
      </c>
      <c r="C23" s="40" t="s">
        <v>230</v>
      </c>
      <c r="D23" s="40" t="s">
        <v>209</v>
      </c>
      <c r="E23" s="40" t="s">
        <v>231</v>
      </c>
      <c r="F23" s="40" t="s">
        <v>232</v>
      </c>
      <c r="G23" s="40" t="s">
        <v>233</v>
      </c>
      <c r="H23" s="40" t="s">
        <v>234</v>
      </c>
      <c r="I23" s="40" t="s">
        <v>235</v>
      </c>
      <c r="J23" s="40"/>
      <c r="K23" s="41" t="s">
        <v>236</v>
      </c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</row>
    <row r="24" ht="21.0" customHeight="1">
      <c r="A24" s="40">
        <v>23.0</v>
      </c>
      <c r="B24" s="40" t="s">
        <v>37</v>
      </c>
      <c r="C24" s="40" t="s">
        <v>237</v>
      </c>
      <c r="D24" s="40"/>
      <c r="E24" s="40" t="s">
        <v>238</v>
      </c>
      <c r="F24" s="40" t="s">
        <v>239</v>
      </c>
      <c r="G24" s="40" t="s">
        <v>240</v>
      </c>
      <c r="H24" s="40" t="s">
        <v>241</v>
      </c>
      <c r="I24" s="40" t="s">
        <v>242</v>
      </c>
      <c r="J24" s="40"/>
      <c r="K24" s="41" t="s">
        <v>243</v>
      </c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</row>
    <row r="25" ht="21.0" customHeight="1">
      <c r="A25" s="40">
        <v>24.0</v>
      </c>
      <c r="B25" s="40" t="s">
        <v>37</v>
      </c>
      <c r="C25" s="40" t="s">
        <v>244</v>
      </c>
      <c r="D25" s="40"/>
      <c r="E25" s="40" t="s">
        <v>245</v>
      </c>
      <c r="F25" s="40" t="s">
        <v>246</v>
      </c>
      <c r="G25" s="40" t="s">
        <v>247</v>
      </c>
      <c r="H25" s="40" t="s">
        <v>248</v>
      </c>
      <c r="I25" s="40" t="s">
        <v>249</v>
      </c>
      <c r="J25" s="40"/>
      <c r="K25" s="41" t="s">
        <v>250</v>
      </c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</row>
    <row r="26" ht="21.0" customHeight="1">
      <c r="A26" s="40">
        <v>25.0</v>
      </c>
      <c r="B26" s="40" t="s">
        <v>37</v>
      </c>
      <c r="C26" s="40" t="s">
        <v>251</v>
      </c>
      <c r="D26" s="40"/>
      <c r="E26" s="40" t="s">
        <v>252</v>
      </c>
      <c r="F26" s="40" t="s">
        <v>253</v>
      </c>
      <c r="G26" s="40" t="s">
        <v>254</v>
      </c>
      <c r="H26" s="40" t="s">
        <v>255</v>
      </c>
      <c r="I26" s="40" t="s">
        <v>256</v>
      </c>
      <c r="J26" s="40"/>
      <c r="K26" s="41" t="s">
        <v>257</v>
      </c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</row>
    <row r="27" ht="21.0" customHeight="1">
      <c r="A27" s="40">
        <v>26.0</v>
      </c>
      <c r="B27" s="40" t="s">
        <v>37</v>
      </c>
      <c r="C27" s="40" t="s">
        <v>258</v>
      </c>
      <c r="D27" s="40"/>
      <c r="E27" s="40" t="s">
        <v>259</v>
      </c>
      <c r="F27" s="40" t="s">
        <v>260</v>
      </c>
      <c r="G27" s="40" t="s">
        <v>261</v>
      </c>
      <c r="H27" s="40" t="s">
        <v>262</v>
      </c>
      <c r="I27" s="40" t="s">
        <v>263</v>
      </c>
      <c r="J27" s="40"/>
      <c r="K27" s="41" t="s">
        <v>264</v>
      </c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</row>
    <row r="28" ht="21.0" customHeight="1">
      <c r="A28" s="40">
        <v>27.0</v>
      </c>
      <c r="B28" s="40" t="s">
        <v>37</v>
      </c>
      <c r="C28" s="40" t="s">
        <v>265</v>
      </c>
      <c r="D28" s="40"/>
      <c r="E28" s="40" t="s">
        <v>266</v>
      </c>
      <c r="F28" s="40" t="s">
        <v>267</v>
      </c>
      <c r="G28" s="40" t="s">
        <v>268</v>
      </c>
      <c r="H28" s="40" t="s">
        <v>269</v>
      </c>
      <c r="I28" s="40" t="s">
        <v>270</v>
      </c>
      <c r="J28" s="40"/>
      <c r="K28" s="41" t="s">
        <v>271</v>
      </c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</row>
    <row r="29" ht="21.0" customHeight="1">
      <c r="A29" s="40">
        <v>28.0</v>
      </c>
      <c r="B29" s="40" t="s">
        <v>37</v>
      </c>
      <c r="C29" s="40" t="s">
        <v>272</v>
      </c>
      <c r="D29" s="40"/>
      <c r="E29" s="40" t="s">
        <v>273</v>
      </c>
      <c r="F29" s="40" t="s">
        <v>274</v>
      </c>
      <c r="G29" s="40" t="s">
        <v>275</v>
      </c>
      <c r="H29" s="40" t="s">
        <v>276</v>
      </c>
      <c r="I29" s="40" t="s">
        <v>277</v>
      </c>
      <c r="J29" s="40"/>
      <c r="K29" s="41" t="s">
        <v>278</v>
      </c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</row>
    <row r="30" ht="21.0" customHeight="1">
      <c r="A30" s="40">
        <v>29.0</v>
      </c>
      <c r="B30" s="40" t="s">
        <v>37</v>
      </c>
      <c r="C30" s="40" t="s">
        <v>279</v>
      </c>
      <c r="D30" s="40"/>
      <c r="E30" s="40" t="s">
        <v>280</v>
      </c>
      <c r="F30" s="40" t="s">
        <v>281</v>
      </c>
      <c r="G30" s="40" t="s">
        <v>282</v>
      </c>
      <c r="H30" s="40" t="s">
        <v>283</v>
      </c>
      <c r="I30" s="40" t="s">
        <v>284</v>
      </c>
      <c r="J30" s="40"/>
      <c r="K30" s="41" t="s">
        <v>285</v>
      </c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</row>
    <row r="31" ht="21.0" customHeight="1">
      <c r="A31" s="40">
        <v>30.0</v>
      </c>
      <c r="B31" s="40" t="s">
        <v>37</v>
      </c>
      <c r="C31" s="40" t="s">
        <v>286</v>
      </c>
      <c r="D31" s="40"/>
      <c r="E31" s="40" t="s">
        <v>287</v>
      </c>
      <c r="F31" s="40" t="s">
        <v>288</v>
      </c>
      <c r="G31" s="40" t="s">
        <v>289</v>
      </c>
      <c r="H31" s="40" t="s">
        <v>290</v>
      </c>
      <c r="I31" s="40" t="s">
        <v>291</v>
      </c>
      <c r="J31" s="40"/>
      <c r="K31" s="41" t="s">
        <v>292</v>
      </c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</row>
    <row r="32" ht="21.0" customHeight="1">
      <c r="A32" s="40">
        <v>31.0</v>
      </c>
      <c r="B32" s="40" t="s">
        <v>37</v>
      </c>
      <c r="C32" s="40" t="s">
        <v>293</v>
      </c>
      <c r="D32" s="40"/>
      <c r="E32" s="40" t="s">
        <v>294</v>
      </c>
      <c r="F32" s="40" t="s">
        <v>295</v>
      </c>
      <c r="G32" s="40" t="s">
        <v>296</v>
      </c>
      <c r="H32" s="40" t="s">
        <v>297</v>
      </c>
      <c r="I32" s="40" t="s">
        <v>298</v>
      </c>
      <c r="J32" s="40"/>
      <c r="K32" s="41" t="s">
        <v>299</v>
      </c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</row>
    <row r="33" ht="21.0" customHeight="1">
      <c r="A33" s="40">
        <v>32.0</v>
      </c>
      <c r="B33" s="40" t="s">
        <v>37</v>
      </c>
      <c r="C33" s="40" t="s">
        <v>300</v>
      </c>
      <c r="D33" s="40"/>
      <c r="E33" s="40" t="s">
        <v>301</v>
      </c>
      <c r="F33" s="40" t="s">
        <v>302</v>
      </c>
      <c r="G33" s="40" t="s">
        <v>303</v>
      </c>
      <c r="H33" s="40" t="s">
        <v>304</v>
      </c>
      <c r="I33" s="40" t="s">
        <v>305</v>
      </c>
      <c r="J33" s="40"/>
      <c r="K33" s="41" t="s">
        <v>306</v>
      </c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</row>
    <row r="34" ht="21.0" customHeight="1">
      <c r="A34" s="40">
        <v>33.0</v>
      </c>
      <c r="B34" s="40" t="s">
        <v>37</v>
      </c>
      <c r="C34" s="40" t="s">
        <v>307</v>
      </c>
      <c r="D34" s="40" t="s">
        <v>308</v>
      </c>
      <c r="E34" s="40" t="s">
        <v>309</v>
      </c>
      <c r="F34" s="40" t="s">
        <v>310</v>
      </c>
      <c r="G34" s="40" t="s">
        <v>311</v>
      </c>
      <c r="H34" s="40" t="s">
        <v>312</v>
      </c>
      <c r="I34" s="40" t="s">
        <v>313</v>
      </c>
      <c r="J34" s="40"/>
      <c r="K34" s="41" t="s">
        <v>314</v>
      </c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</row>
    <row r="35" ht="21.0" customHeight="1">
      <c r="A35" s="40">
        <v>34.0</v>
      </c>
      <c r="B35" s="40" t="s">
        <v>37</v>
      </c>
      <c r="C35" s="40" t="s">
        <v>315</v>
      </c>
      <c r="D35" s="40" t="s">
        <v>308</v>
      </c>
      <c r="E35" s="40" t="s">
        <v>316</v>
      </c>
      <c r="F35" s="40" t="s">
        <v>317</v>
      </c>
      <c r="G35" s="40" t="s">
        <v>318</v>
      </c>
      <c r="H35" s="40" t="s">
        <v>319</v>
      </c>
      <c r="I35" s="40" t="s">
        <v>320</v>
      </c>
      <c r="J35" s="40"/>
      <c r="K35" s="41" t="s">
        <v>321</v>
      </c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</row>
    <row r="36" ht="21.0" customHeight="1">
      <c r="A36" s="40">
        <v>35.0</v>
      </c>
      <c r="B36" s="40" t="s">
        <v>37</v>
      </c>
      <c r="C36" s="40" t="s">
        <v>322</v>
      </c>
      <c r="D36" s="40" t="s">
        <v>323</v>
      </c>
      <c r="E36" s="47" t="s">
        <v>324</v>
      </c>
      <c r="F36" s="40" t="s">
        <v>325</v>
      </c>
      <c r="G36" s="48" t="s">
        <v>326</v>
      </c>
      <c r="H36" s="40" t="s">
        <v>327</v>
      </c>
      <c r="I36" s="40"/>
      <c r="J36" s="40" t="s">
        <v>328</v>
      </c>
      <c r="K36" s="41"/>
      <c r="L36" s="41"/>
      <c r="M36" s="41"/>
      <c r="N36" s="41"/>
      <c r="O36" s="41"/>
      <c r="P36" s="41"/>
      <c r="Q36" s="41"/>
      <c r="R36" s="42"/>
      <c r="S36" s="42"/>
      <c r="T36" s="42"/>
      <c r="U36" s="42"/>
      <c r="V36" s="42"/>
      <c r="W36" s="42"/>
      <c r="X36" s="42"/>
      <c r="Y36" s="42"/>
    </row>
    <row r="37" ht="21.0" customHeight="1">
      <c r="A37" s="40">
        <v>36.0</v>
      </c>
      <c r="B37" s="40" t="s">
        <v>37</v>
      </c>
      <c r="C37" s="40" t="s">
        <v>329</v>
      </c>
      <c r="D37" s="40" t="s">
        <v>323</v>
      </c>
      <c r="E37" s="47" t="s">
        <v>330</v>
      </c>
      <c r="F37" s="40" t="s">
        <v>331</v>
      </c>
      <c r="G37" s="48" t="s">
        <v>332</v>
      </c>
      <c r="H37" s="40" t="s">
        <v>333</v>
      </c>
      <c r="I37" s="40"/>
      <c r="J37" s="40" t="s">
        <v>328</v>
      </c>
      <c r="K37" s="41"/>
      <c r="L37" s="41"/>
      <c r="M37" s="41"/>
      <c r="N37" s="41"/>
      <c r="O37" s="41"/>
      <c r="P37" s="41"/>
      <c r="Q37" s="41"/>
      <c r="R37" s="42"/>
      <c r="S37" s="42"/>
      <c r="T37" s="42"/>
      <c r="U37" s="42"/>
      <c r="V37" s="42"/>
      <c r="W37" s="42"/>
      <c r="X37" s="42"/>
      <c r="Y37" s="42"/>
    </row>
    <row r="38" ht="21.0" customHeight="1">
      <c r="A38" s="40">
        <v>37.0</v>
      </c>
      <c r="B38" s="40" t="s">
        <v>37</v>
      </c>
      <c r="C38" s="40" t="s">
        <v>334</v>
      </c>
      <c r="D38" s="40" t="s">
        <v>323</v>
      </c>
      <c r="E38" s="40" t="s">
        <v>335</v>
      </c>
      <c r="F38" s="40" t="s">
        <v>336</v>
      </c>
      <c r="G38" s="40" t="s">
        <v>337</v>
      </c>
      <c r="H38" s="40" t="s">
        <v>338</v>
      </c>
      <c r="I38" s="40" t="s">
        <v>339</v>
      </c>
      <c r="J38" s="40"/>
      <c r="K38" s="41" t="s">
        <v>340</v>
      </c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</row>
    <row r="39" ht="21.0" customHeight="1">
      <c r="A39" s="40">
        <v>38.0</v>
      </c>
      <c r="B39" s="40" t="s">
        <v>37</v>
      </c>
      <c r="C39" s="40" t="s">
        <v>341</v>
      </c>
      <c r="D39" s="40" t="s">
        <v>323</v>
      </c>
      <c r="E39" s="40" t="s">
        <v>342</v>
      </c>
      <c r="F39" s="40" t="s">
        <v>343</v>
      </c>
      <c r="G39" s="40" t="s">
        <v>344</v>
      </c>
      <c r="H39" s="40" t="s">
        <v>345</v>
      </c>
      <c r="I39" s="40" t="s">
        <v>346</v>
      </c>
      <c r="J39" s="40"/>
      <c r="K39" s="41" t="s">
        <v>347</v>
      </c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</row>
    <row r="40" ht="21.0" customHeight="1">
      <c r="A40" s="40">
        <v>39.0</v>
      </c>
      <c r="B40" s="40" t="s">
        <v>37</v>
      </c>
      <c r="C40" s="40" t="s">
        <v>348</v>
      </c>
      <c r="D40" s="40" t="s">
        <v>323</v>
      </c>
      <c r="E40" s="40" t="s">
        <v>349</v>
      </c>
      <c r="F40" s="40" t="s">
        <v>350</v>
      </c>
      <c r="G40" s="40" t="s">
        <v>351</v>
      </c>
      <c r="H40" s="40" t="s">
        <v>352</v>
      </c>
      <c r="I40" s="40" t="s">
        <v>353</v>
      </c>
      <c r="J40" s="40"/>
      <c r="K40" s="41" t="s">
        <v>354</v>
      </c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</row>
    <row r="41" ht="21.0" customHeight="1">
      <c r="A41" s="40">
        <v>40.0</v>
      </c>
      <c r="B41" s="40" t="s">
        <v>37</v>
      </c>
      <c r="C41" s="40" t="s">
        <v>355</v>
      </c>
      <c r="D41" s="40" t="s">
        <v>323</v>
      </c>
      <c r="E41" s="40" t="s">
        <v>356</v>
      </c>
      <c r="F41" s="40" t="s">
        <v>357</v>
      </c>
      <c r="G41" s="40" t="s">
        <v>358</v>
      </c>
      <c r="H41" s="40" t="s">
        <v>359</v>
      </c>
      <c r="I41" s="40" t="s">
        <v>360</v>
      </c>
      <c r="J41" s="40"/>
      <c r="K41" s="41" t="s">
        <v>361</v>
      </c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</row>
    <row r="42" ht="21.0" customHeight="1">
      <c r="A42" s="40">
        <v>41.0</v>
      </c>
      <c r="B42" s="40" t="s">
        <v>37</v>
      </c>
      <c r="C42" s="40" t="s">
        <v>362</v>
      </c>
      <c r="D42" s="40"/>
      <c r="E42" s="40" t="s">
        <v>363</v>
      </c>
      <c r="F42" s="40" t="s">
        <v>364</v>
      </c>
      <c r="G42" s="40" t="s">
        <v>365</v>
      </c>
      <c r="H42" s="40" t="s">
        <v>366</v>
      </c>
      <c r="I42" s="40" t="s">
        <v>367</v>
      </c>
      <c r="J42" s="40"/>
      <c r="K42" s="41" t="s">
        <v>368</v>
      </c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</row>
    <row r="43" ht="21.0" customHeight="1">
      <c r="A43" s="40">
        <v>42.0</v>
      </c>
      <c r="B43" s="40" t="s">
        <v>37</v>
      </c>
      <c r="C43" s="40" t="s">
        <v>369</v>
      </c>
      <c r="D43" s="40"/>
      <c r="E43" s="40" t="s">
        <v>370</v>
      </c>
      <c r="F43" s="40" t="s">
        <v>371</v>
      </c>
      <c r="G43" s="40" t="s">
        <v>372</v>
      </c>
      <c r="H43" s="40" t="s">
        <v>373</v>
      </c>
      <c r="I43" s="40" t="s">
        <v>374</v>
      </c>
      <c r="J43" s="40" t="s">
        <v>375</v>
      </c>
      <c r="K43" s="41" t="s">
        <v>376</v>
      </c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</row>
    <row r="44" ht="21.0" customHeight="1">
      <c r="A44" s="40">
        <v>43.0</v>
      </c>
      <c r="B44" s="40" t="s">
        <v>37</v>
      </c>
      <c r="C44" s="40" t="s">
        <v>377</v>
      </c>
      <c r="D44" s="40" t="s">
        <v>378</v>
      </c>
      <c r="E44" s="40" t="s">
        <v>379</v>
      </c>
      <c r="F44" s="40" t="s">
        <v>380</v>
      </c>
      <c r="G44" s="40"/>
      <c r="H44" s="40" t="s">
        <v>381</v>
      </c>
      <c r="I44" s="40"/>
      <c r="J44" s="40" t="s">
        <v>328</v>
      </c>
      <c r="K44" s="41"/>
      <c r="L44" s="41"/>
      <c r="M44" s="41"/>
      <c r="N44" s="41"/>
      <c r="O44" s="41"/>
      <c r="P44" s="41"/>
      <c r="Q44" s="41"/>
      <c r="R44" s="42"/>
      <c r="S44" s="42"/>
      <c r="T44" s="42"/>
      <c r="U44" s="42"/>
      <c r="V44" s="42"/>
      <c r="W44" s="42"/>
      <c r="X44" s="42"/>
      <c r="Y44" s="42"/>
    </row>
    <row r="45" ht="21.0" customHeight="1">
      <c r="A45" s="40">
        <v>44.0</v>
      </c>
      <c r="B45" s="40" t="s">
        <v>37</v>
      </c>
      <c r="C45" s="40" t="s">
        <v>382</v>
      </c>
      <c r="D45" s="40" t="s">
        <v>378</v>
      </c>
      <c r="E45" s="40" t="s">
        <v>379</v>
      </c>
      <c r="F45" s="40" t="s">
        <v>383</v>
      </c>
      <c r="G45" s="40"/>
      <c r="H45" s="40" t="s">
        <v>384</v>
      </c>
      <c r="I45" s="40"/>
      <c r="J45" s="40" t="s">
        <v>328</v>
      </c>
      <c r="K45" s="41"/>
      <c r="L45" s="41"/>
      <c r="M45" s="41"/>
      <c r="N45" s="41"/>
      <c r="O45" s="41"/>
      <c r="P45" s="41"/>
      <c r="Q45" s="41"/>
      <c r="R45" s="42"/>
      <c r="S45" s="42"/>
      <c r="T45" s="42"/>
      <c r="U45" s="42"/>
      <c r="V45" s="42"/>
      <c r="W45" s="42"/>
      <c r="X45" s="42"/>
      <c r="Y45" s="42"/>
    </row>
    <row r="46" ht="21.0" customHeight="1">
      <c r="A46" s="40">
        <v>45.0</v>
      </c>
      <c r="B46" s="40" t="s">
        <v>37</v>
      </c>
      <c r="C46" s="40" t="s">
        <v>385</v>
      </c>
      <c r="D46" s="40" t="s">
        <v>378</v>
      </c>
      <c r="E46" s="40" t="s">
        <v>379</v>
      </c>
      <c r="F46" s="40" t="s">
        <v>386</v>
      </c>
      <c r="G46" s="40"/>
      <c r="H46" s="40" t="s">
        <v>387</v>
      </c>
      <c r="I46" s="40"/>
      <c r="J46" s="40" t="s">
        <v>328</v>
      </c>
      <c r="K46" s="41"/>
      <c r="L46" s="41"/>
      <c r="M46" s="41"/>
      <c r="N46" s="41"/>
      <c r="O46" s="41"/>
      <c r="P46" s="41"/>
      <c r="Q46" s="41"/>
      <c r="R46" s="42"/>
      <c r="S46" s="42"/>
      <c r="T46" s="42"/>
      <c r="U46" s="42"/>
      <c r="V46" s="42"/>
      <c r="W46" s="42"/>
      <c r="X46" s="42"/>
      <c r="Y46" s="42"/>
    </row>
    <row r="47" ht="21.0" customHeight="1">
      <c r="A47" s="40">
        <v>46.0</v>
      </c>
      <c r="B47" s="40" t="s">
        <v>37</v>
      </c>
      <c r="C47" s="40" t="s">
        <v>388</v>
      </c>
      <c r="D47" s="40" t="s">
        <v>378</v>
      </c>
      <c r="E47" s="40" t="s">
        <v>379</v>
      </c>
      <c r="F47" s="40" t="s">
        <v>389</v>
      </c>
      <c r="G47" s="40"/>
      <c r="H47" s="40" t="s">
        <v>390</v>
      </c>
      <c r="I47" s="40"/>
      <c r="J47" s="40" t="s">
        <v>328</v>
      </c>
      <c r="K47" s="41"/>
      <c r="L47" s="41"/>
      <c r="M47" s="41"/>
      <c r="N47" s="41"/>
      <c r="O47" s="41"/>
      <c r="P47" s="41"/>
      <c r="Q47" s="41"/>
      <c r="R47" s="42"/>
      <c r="S47" s="42"/>
      <c r="T47" s="42"/>
      <c r="U47" s="42"/>
      <c r="V47" s="42"/>
      <c r="W47" s="42"/>
      <c r="X47" s="42"/>
      <c r="Y47" s="42"/>
    </row>
    <row r="48" ht="21.0" customHeight="1">
      <c r="A48" s="40">
        <v>47.0</v>
      </c>
      <c r="B48" s="40" t="s">
        <v>37</v>
      </c>
      <c r="C48" s="40" t="s">
        <v>391</v>
      </c>
      <c r="D48" s="40" t="s">
        <v>378</v>
      </c>
      <c r="E48" s="40" t="s">
        <v>379</v>
      </c>
      <c r="F48" s="40" t="s">
        <v>392</v>
      </c>
      <c r="G48" s="40"/>
      <c r="H48" s="40" t="s">
        <v>393</v>
      </c>
      <c r="I48" s="40"/>
      <c r="J48" s="40" t="s">
        <v>328</v>
      </c>
      <c r="K48" s="41"/>
      <c r="L48" s="41"/>
      <c r="M48" s="41"/>
      <c r="N48" s="41"/>
      <c r="O48" s="41"/>
      <c r="P48" s="41"/>
      <c r="Q48" s="41"/>
      <c r="R48" s="42"/>
      <c r="S48" s="42"/>
      <c r="T48" s="42"/>
      <c r="U48" s="42"/>
      <c r="V48" s="42"/>
      <c r="W48" s="42"/>
      <c r="X48" s="42"/>
      <c r="Y48" s="42"/>
    </row>
    <row r="49" ht="21.0" customHeight="1">
      <c r="A49" s="40">
        <v>48.0</v>
      </c>
      <c r="B49" s="40" t="s">
        <v>37</v>
      </c>
      <c r="C49" s="40" t="s">
        <v>394</v>
      </c>
      <c r="D49" s="40" t="s">
        <v>378</v>
      </c>
      <c r="E49" s="40" t="s">
        <v>379</v>
      </c>
      <c r="F49" s="40" t="s">
        <v>395</v>
      </c>
      <c r="G49" s="40"/>
      <c r="H49" s="40" t="s">
        <v>396</v>
      </c>
      <c r="I49" s="40"/>
      <c r="J49" s="40" t="s">
        <v>328</v>
      </c>
      <c r="K49" s="41"/>
      <c r="L49" s="41"/>
      <c r="M49" s="41"/>
      <c r="N49" s="41"/>
      <c r="O49" s="41"/>
      <c r="P49" s="41"/>
      <c r="Q49" s="41"/>
      <c r="R49" s="42"/>
      <c r="S49" s="42"/>
      <c r="T49" s="42"/>
      <c r="U49" s="42"/>
      <c r="V49" s="42"/>
      <c r="W49" s="42"/>
      <c r="X49" s="42"/>
      <c r="Y49" s="42"/>
    </row>
    <row r="50" ht="21.0" customHeight="1">
      <c r="A50" s="40">
        <v>49.0</v>
      </c>
      <c r="B50" s="40" t="s">
        <v>37</v>
      </c>
      <c r="C50" s="40" t="s">
        <v>397</v>
      </c>
      <c r="D50" s="40" t="s">
        <v>378</v>
      </c>
      <c r="E50" s="40" t="s">
        <v>379</v>
      </c>
      <c r="F50" s="40" t="s">
        <v>398</v>
      </c>
      <c r="G50" s="40"/>
      <c r="H50" s="40" t="s">
        <v>399</v>
      </c>
      <c r="I50" s="40"/>
      <c r="J50" s="40" t="s">
        <v>328</v>
      </c>
      <c r="K50" s="41"/>
      <c r="L50" s="41"/>
      <c r="M50" s="41"/>
      <c r="N50" s="41"/>
      <c r="O50" s="41"/>
      <c r="P50" s="41"/>
      <c r="Q50" s="41"/>
      <c r="R50" s="42"/>
      <c r="S50" s="42"/>
      <c r="T50" s="42"/>
      <c r="U50" s="42"/>
      <c r="V50" s="42"/>
      <c r="W50" s="42"/>
      <c r="X50" s="42"/>
      <c r="Y50" s="42"/>
    </row>
    <row r="51" ht="21.0" customHeight="1">
      <c r="A51" s="40">
        <v>50.0</v>
      </c>
      <c r="B51" s="40" t="s">
        <v>37</v>
      </c>
      <c r="C51" s="40" t="s">
        <v>400</v>
      </c>
      <c r="D51" s="40" t="s">
        <v>378</v>
      </c>
      <c r="E51" s="40" t="s">
        <v>379</v>
      </c>
      <c r="F51" s="40" t="s">
        <v>401</v>
      </c>
      <c r="G51" s="40"/>
      <c r="H51" s="40" t="s">
        <v>402</v>
      </c>
      <c r="I51" s="40"/>
      <c r="J51" s="40" t="s">
        <v>328</v>
      </c>
      <c r="K51" s="41"/>
      <c r="L51" s="41"/>
      <c r="M51" s="41"/>
      <c r="N51" s="41"/>
      <c r="O51" s="41"/>
      <c r="P51" s="41"/>
      <c r="Q51" s="41"/>
      <c r="R51" s="42"/>
      <c r="S51" s="42"/>
      <c r="T51" s="42"/>
      <c r="U51" s="42"/>
      <c r="V51" s="42"/>
      <c r="W51" s="42"/>
      <c r="X51" s="42"/>
      <c r="Y51" s="42"/>
    </row>
    <row r="52" ht="21.0" customHeight="1">
      <c r="A52" s="40">
        <v>51.0</v>
      </c>
      <c r="B52" s="40" t="s">
        <v>37</v>
      </c>
      <c r="C52" s="40" t="s">
        <v>403</v>
      </c>
      <c r="D52" s="40" t="s">
        <v>378</v>
      </c>
      <c r="E52" s="40" t="s">
        <v>379</v>
      </c>
      <c r="F52" s="40" t="s">
        <v>404</v>
      </c>
      <c r="G52" s="40"/>
      <c r="H52" s="40" t="s">
        <v>405</v>
      </c>
      <c r="I52" s="40"/>
      <c r="J52" s="40" t="s">
        <v>328</v>
      </c>
      <c r="K52" s="41"/>
      <c r="L52" s="41"/>
      <c r="M52" s="41"/>
      <c r="N52" s="41"/>
      <c r="O52" s="41"/>
      <c r="P52" s="41"/>
      <c r="Q52" s="41"/>
      <c r="R52" s="42"/>
      <c r="S52" s="42"/>
      <c r="T52" s="42"/>
      <c r="U52" s="42"/>
      <c r="V52" s="42"/>
      <c r="W52" s="42"/>
      <c r="X52" s="42"/>
      <c r="Y52" s="42"/>
    </row>
    <row r="53" ht="21.0" customHeight="1">
      <c r="A53" s="40">
        <v>52.0</v>
      </c>
      <c r="B53" s="40" t="s">
        <v>37</v>
      </c>
      <c r="C53" s="40" t="s">
        <v>406</v>
      </c>
      <c r="D53" s="40" t="s">
        <v>378</v>
      </c>
      <c r="E53" s="40" t="s">
        <v>379</v>
      </c>
      <c r="F53" s="40" t="s">
        <v>407</v>
      </c>
      <c r="G53" s="40"/>
      <c r="H53" s="40" t="s">
        <v>408</v>
      </c>
      <c r="I53" s="40"/>
      <c r="J53" s="40" t="s">
        <v>328</v>
      </c>
      <c r="K53" s="41"/>
      <c r="L53" s="41"/>
      <c r="M53" s="41"/>
      <c r="N53" s="41"/>
      <c r="O53" s="41"/>
      <c r="P53" s="41"/>
      <c r="Q53" s="41"/>
      <c r="R53" s="42"/>
      <c r="S53" s="42"/>
      <c r="T53" s="42"/>
      <c r="U53" s="42"/>
      <c r="V53" s="42"/>
      <c r="W53" s="42"/>
      <c r="X53" s="42"/>
      <c r="Y53" s="42"/>
    </row>
    <row r="54" ht="21.0" customHeight="1">
      <c r="A54" s="40">
        <v>53.0</v>
      </c>
      <c r="B54" s="40" t="s">
        <v>37</v>
      </c>
      <c r="C54" s="40" t="s">
        <v>409</v>
      </c>
      <c r="D54" s="40" t="s">
        <v>378</v>
      </c>
      <c r="E54" s="40" t="s">
        <v>379</v>
      </c>
      <c r="F54" s="40" t="s">
        <v>410</v>
      </c>
      <c r="G54" s="40"/>
      <c r="H54" s="40" t="s">
        <v>411</v>
      </c>
      <c r="I54" s="40"/>
      <c r="J54" s="40" t="s">
        <v>328</v>
      </c>
      <c r="K54" s="41"/>
      <c r="L54" s="41"/>
      <c r="M54" s="41"/>
      <c r="N54" s="41"/>
      <c r="O54" s="41"/>
      <c r="P54" s="41"/>
      <c r="Q54" s="41"/>
      <c r="R54" s="42"/>
      <c r="S54" s="42"/>
      <c r="T54" s="42"/>
      <c r="U54" s="42"/>
      <c r="V54" s="42"/>
      <c r="W54" s="42"/>
      <c r="X54" s="42"/>
      <c r="Y54" s="42"/>
    </row>
    <row r="55" ht="21.0" customHeight="1">
      <c r="A55" s="40">
        <v>54.0</v>
      </c>
      <c r="B55" s="40" t="s">
        <v>37</v>
      </c>
      <c r="C55" s="40" t="s">
        <v>412</v>
      </c>
      <c r="D55" s="40" t="s">
        <v>378</v>
      </c>
      <c r="E55" s="40" t="s">
        <v>379</v>
      </c>
      <c r="F55" s="40" t="s">
        <v>413</v>
      </c>
      <c r="G55" s="40"/>
      <c r="H55" s="40" t="s">
        <v>414</v>
      </c>
      <c r="I55" s="40"/>
      <c r="J55" s="40" t="s">
        <v>328</v>
      </c>
      <c r="K55" s="41"/>
      <c r="L55" s="41"/>
      <c r="M55" s="41"/>
      <c r="N55" s="41"/>
      <c r="O55" s="41"/>
      <c r="P55" s="41"/>
      <c r="Q55" s="41"/>
      <c r="R55" s="42"/>
      <c r="S55" s="42"/>
      <c r="T55" s="42"/>
      <c r="U55" s="42"/>
      <c r="V55" s="42"/>
      <c r="W55" s="42"/>
      <c r="X55" s="42"/>
      <c r="Y55" s="42"/>
    </row>
    <row r="56" ht="21.0" customHeight="1">
      <c r="A56" s="40">
        <v>55.0</v>
      </c>
      <c r="B56" s="40" t="s">
        <v>37</v>
      </c>
      <c r="C56" s="40" t="s">
        <v>415</v>
      </c>
      <c r="D56" s="40" t="s">
        <v>378</v>
      </c>
      <c r="E56" s="40" t="s">
        <v>416</v>
      </c>
      <c r="F56" s="40" t="s">
        <v>417</v>
      </c>
      <c r="G56" s="44" t="s">
        <v>418</v>
      </c>
      <c r="H56" s="40" t="s">
        <v>419</v>
      </c>
      <c r="I56" s="40" t="s">
        <v>420</v>
      </c>
      <c r="J56" s="40" t="s">
        <v>421</v>
      </c>
      <c r="K56" s="41" t="s">
        <v>422</v>
      </c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</row>
    <row r="57" ht="21.0" customHeight="1">
      <c r="A57" s="40">
        <v>56.0</v>
      </c>
      <c r="B57" s="40" t="s">
        <v>37</v>
      </c>
      <c r="C57" s="40" t="s">
        <v>423</v>
      </c>
      <c r="D57" s="40" t="s">
        <v>378</v>
      </c>
      <c r="E57" s="40" t="s">
        <v>424</v>
      </c>
      <c r="F57" s="40" t="s">
        <v>425</v>
      </c>
      <c r="G57" s="40" t="s">
        <v>426</v>
      </c>
      <c r="H57" s="40" t="s">
        <v>427</v>
      </c>
      <c r="I57" s="40" t="s">
        <v>428</v>
      </c>
      <c r="J57" s="40" t="s">
        <v>429</v>
      </c>
      <c r="K57" s="41" t="s">
        <v>430</v>
      </c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</row>
    <row r="58" ht="21.0" customHeight="1">
      <c r="A58" s="40">
        <v>57.0</v>
      </c>
      <c r="B58" s="40" t="s">
        <v>37</v>
      </c>
      <c r="C58" s="40" t="s">
        <v>431</v>
      </c>
      <c r="D58" s="40" t="s">
        <v>378</v>
      </c>
      <c r="E58" s="40" t="s">
        <v>432</v>
      </c>
      <c r="F58" s="40" t="s">
        <v>433</v>
      </c>
      <c r="G58" s="40" t="s">
        <v>434</v>
      </c>
      <c r="H58" s="40" t="s">
        <v>435</v>
      </c>
      <c r="I58" s="40" t="s">
        <v>436</v>
      </c>
      <c r="J58" s="40"/>
      <c r="K58" s="41" t="s">
        <v>437</v>
      </c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</row>
    <row r="59" ht="21.0" customHeight="1">
      <c r="A59" s="40">
        <v>58.0</v>
      </c>
      <c r="B59" s="40" t="s">
        <v>37</v>
      </c>
      <c r="C59" s="40" t="s">
        <v>438</v>
      </c>
      <c r="D59" s="40"/>
      <c r="E59" s="40" t="s">
        <v>439</v>
      </c>
      <c r="F59" s="40" t="s">
        <v>440</v>
      </c>
      <c r="G59" s="40" t="s">
        <v>441</v>
      </c>
      <c r="H59" s="40" t="s">
        <v>442</v>
      </c>
      <c r="I59" s="40" t="s">
        <v>443</v>
      </c>
      <c r="J59" s="40"/>
      <c r="K59" s="41" t="s">
        <v>444</v>
      </c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</row>
    <row r="60" ht="21.0" customHeight="1">
      <c r="A60" s="40">
        <v>59.0</v>
      </c>
      <c r="B60" s="40" t="s">
        <v>37</v>
      </c>
      <c r="C60" s="40" t="s">
        <v>445</v>
      </c>
      <c r="D60" s="40"/>
      <c r="E60" s="40" t="s">
        <v>446</v>
      </c>
      <c r="F60" s="40" t="s">
        <v>447</v>
      </c>
      <c r="G60" s="40" t="s">
        <v>448</v>
      </c>
      <c r="H60" s="40" t="s">
        <v>449</v>
      </c>
      <c r="I60" s="40" t="s">
        <v>450</v>
      </c>
      <c r="J60" s="40"/>
      <c r="K60" s="41" t="s">
        <v>451</v>
      </c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</row>
    <row r="61" ht="21.0" customHeight="1">
      <c r="A61" s="40">
        <v>60.0</v>
      </c>
      <c r="B61" s="40" t="s">
        <v>37</v>
      </c>
      <c r="C61" s="40" t="s">
        <v>452</v>
      </c>
      <c r="D61" s="40"/>
      <c r="E61" s="40" t="s">
        <v>453</v>
      </c>
      <c r="F61" s="40" t="s">
        <v>454</v>
      </c>
      <c r="G61" s="40" t="s">
        <v>455</v>
      </c>
      <c r="H61" s="40" t="s">
        <v>456</v>
      </c>
      <c r="I61" s="40" t="s">
        <v>457</v>
      </c>
      <c r="J61" s="40"/>
      <c r="K61" s="41" t="s">
        <v>458</v>
      </c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</row>
    <row r="62" ht="21.0" customHeight="1">
      <c r="A62" s="40">
        <v>61.0</v>
      </c>
      <c r="B62" s="40" t="s">
        <v>37</v>
      </c>
      <c r="C62" s="40" t="s">
        <v>459</v>
      </c>
      <c r="D62" s="40" t="s">
        <v>460</v>
      </c>
      <c r="E62" s="40" t="s">
        <v>461</v>
      </c>
      <c r="F62" s="40" t="s">
        <v>462</v>
      </c>
      <c r="G62" s="40" t="s">
        <v>463</v>
      </c>
      <c r="H62" s="40" t="s">
        <v>464</v>
      </c>
      <c r="I62" s="40" t="s">
        <v>465</v>
      </c>
      <c r="J62" s="40"/>
      <c r="K62" s="41" t="s">
        <v>466</v>
      </c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</row>
    <row r="63" ht="21.0" customHeight="1">
      <c r="A63" s="40">
        <v>62.0</v>
      </c>
      <c r="B63" s="40" t="s">
        <v>37</v>
      </c>
      <c r="C63" s="40" t="s">
        <v>467</v>
      </c>
      <c r="D63" s="40" t="s">
        <v>460</v>
      </c>
      <c r="E63" s="40" t="s">
        <v>461</v>
      </c>
      <c r="F63" s="40" t="s">
        <v>468</v>
      </c>
      <c r="G63" s="40" t="s">
        <v>469</v>
      </c>
      <c r="H63" s="40" t="s">
        <v>470</v>
      </c>
      <c r="I63" s="40" t="s">
        <v>471</v>
      </c>
      <c r="J63" s="40"/>
      <c r="K63" s="41" t="s">
        <v>472</v>
      </c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</row>
    <row r="64" ht="21.0" customHeight="1">
      <c r="A64" s="40">
        <v>63.0</v>
      </c>
      <c r="B64" s="40" t="s">
        <v>37</v>
      </c>
      <c r="C64" s="40" t="s">
        <v>473</v>
      </c>
      <c r="D64" s="40" t="s">
        <v>460</v>
      </c>
      <c r="E64" s="40" t="s">
        <v>461</v>
      </c>
      <c r="F64" s="40" t="s">
        <v>474</v>
      </c>
      <c r="G64" s="40" t="s">
        <v>475</v>
      </c>
      <c r="H64" s="40" t="s">
        <v>476</v>
      </c>
      <c r="I64" s="40" t="s">
        <v>477</v>
      </c>
      <c r="J64" s="40"/>
      <c r="K64" s="41" t="s">
        <v>478</v>
      </c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</row>
    <row r="65" ht="21.0" customHeight="1">
      <c r="A65" s="40">
        <v>64.0</v>
      </c>
      <c r="B65" s="40" t="s">
        <v>37</v>
      </c>
      <c r="C65" s="40" t="s">
        <v>479</v>
      </c>
      <c r="D65" s="40"/>
      <c r="E65" s="40" t="s">
        <v>480</v>
      </c>
      <c r="F65" s="40" t="s">
        <v>481</v>
      </c>
      <c r="G65" s="44" t="s">
        <v>482</v>
      </c>
      <c r="H65" s="40" t="s">
        <v>483</v>
      </c>
      <c r="I65" s="40" t="s">
        <v>484</v>
      </c>
      <c r="J65" s="40"/>
      <c r="K65" s="41" t="s">
        <v>485</v>
      </c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</row>
    <row r="66" ht="21.0" customHeight="1">
      <c r="A66" s="40">
        <v>65.0</v>
      </c>
      <c r="B66" s="40" t="s">
        <v>37</v>
      </c>
      <c r="C66" s="40" t="s">
        <v>486</v>
      </c>
      <c r="D66" s="40"/>
      <c r="E66" s="49" t="s">
        <v>487</v>
      </c>
      <c r="F66" s="49" t="s">
        <v>488</v>
      </c>
      <c r="G66" s="50" t="s">
        <v>489</v>
      </c>
      <c r="H66" s="40"/>
      <c r="I66" s="40"/>
      <c r="J66" s="40"/>
      <c r="K66" s="41" t="s">
        <v>490</v>
      </c>
      <c r="L66" s="41"/>
      <c r="M66" s="41"/>
      <c r="N66" s="41"/>
      <c r="O66" s="41"/>
      <c r="P66" s="41"/>
      <c r="Q66" s="41"/>
      <c r="R66" s="42"/>
      <c r="S66" s="42"/>
      <c r="T66" s="42"/>
      <c r="U66" s="42"/>
      <c r="V66" s="42"/>
      <c r="W66" s="42"/>
      <c r="X66" s="42"/>
      <c r="Y66" s="42"/>
    </row>
    <row r="67" ht="21.0" customHeight="1">
      <c r="A67" s="40">
        <v>66.0</v>
      </c>
      <c r="B67" s="40" t="s">
        <v>37</v>
      </c>
      <c r="C67" s="40" t="s">
        <v>491</v>
      </c>
      <c r="D67" s="40"/>
      <c r="E67" s="49" t="s">
        <v>492</v>
      </c>
      <c r="F67" s="49" t="s">
        <v>493</v>
      </c>
      <c r="G67" s="40" t="s">
        <v>494</v>
      </c>
      <c r="H67" s="40"/>
      <c r="I67" s="40"/>
      <c r="J67" s="40"/>
      <c r="K67" s="41" t="s">
        <v>495</v>
      </c>
      <c r="L67" s="41"/>
      <c r="M67" s="41"/>
      <c r="N67" s="41"/>
      <c r="O67" s="41"/>
      <c r="P67" s="41"/>
      <c r="Q67" s="41"/>
      <c r="R67" s="42"/>
      <c r="S67" s="42"/>
      <c r="T67" s="42"/>
      <c r="U67" s="42"/>
      <c r="V67" s="42"/>
      <c r="W67" s="42"/>
      <c r="X67" s="42"/>
      <c r="Y67" s="42"/>
    </row>
    <row r="68" ht="21.0" customHeight="1">
      <c r="A68" s="40">
        <v>67.0</v>
      </c>
      <c r="B68" s="40" t="s">
        <v>37</v>
      </c>
      <c r="C68" s="40" t="s">
        <v>496</v>
      </c>
      <c r="D68" s="40"/>
      <c r="E68" s="49" t="s">
        <v>497</v>
      </c>
      <c r="F68" s="49" t="s">
        <v>498</v>
      </c>
      <c r="G68" s="40" t="s">
        <v>499</v>
      </c>
      <c r="H68" s="40"/>
      <c r="I68" s="40"/>
      <c r="J68" s="40"/>
      <c r="K68" s="41" t="s">
        <v>500</v>
      </c>
      <c r="L68" s="41"/>
      <c r="M68" s="41"/>
      <c r="N68" s="41"/>
      <c r="O68" s="41"/>
      <c r="P68" s="41"/>
      <c r="Q68" s="41"/>
      <c r="R68" s="42"/>
      <c r="S68" s="42"/>
      <c r="T68" s="42"/>
      <c r="U68" s="42"/>
      <c r="V68" s="42"/>
      <c r="W68" s="42"/>
      <c r="X68" s="42"/>
      <c r="Y68" s="42"/>
    </row>
    <row r="69" ht="21.0" customHeight="1">
      <c r="A69" s="40">
        <v>68.0</v>
      </c>
      <c r="B69" s="40" t="s">
        <v>37</v>
      </c>
      <c r="C69" s="40" t="s">
        <v>501</v>
      </c>
      <c r="D69" s="40"/>
      <c r="E69" s="40" t="s">
        <v>502</v>
      </c>
      <c r="F69" s="40" t="s">
        <v>503</v>
      </c>
      <c r="G69" s="40" t="s">
        <v>504</v>
      </c>
      <c r="H69" s="40" t="s">
        <v>505</v>
      </c>
      <c r="I69" s="40" t="s">
        <v>506</v>
      </c>
      <c r="J69" s="40"/>
      <c r="K69" s="41" t="s">
        <v>507</v>
      </c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</row>
    <row r="70" ht="21.0" customHeight="1">
      <c r="A70" s="40">
        <v>69.0</v>
      </c>
      <c r="B70" s="40" t="s">
        <v>37</v>
      </c>
      <c r="C70" s="40" t="s">
        <v>508</v>
      </c>
      <c r="D70" s="40"/>
      <c r="E70" s="40" t="s">
        <v>509</v>
      </c>
      <c r="F70" s="40" t="s">
        <v>510</v>
      </c>
      <c r="G70" s="40" t="s">
        <v>511</v>
      </c>
      <c r="H70" s="40" t="s">
        <v>512</v>
      </c>
      <c r="I70" s="40" t="s">
        <v>513</v>
      </c>
      <c r="J70" s="40"/>
      <c r="K70" s="41" t="s">
        <v>514</v>
      </c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</row>
    <row r="71" ht="21.0" customHeight="1">
      <c r="A71" s="40">
        <v>70.0</v>
      </c>
      <c r="B71" s="40" t="s">
        <v>37</v>
      </c>
      <c r="C71" s="40" t="s">
        <v>515</v>
      </c>
      <c r="D71" s="40"/>
      <c r="E71" s="40" t="s">
        <v>516</v>
      </c>
      <c r="F71" s="40" t="s">
        <v>517</v>
      </c>
      <c r="G71" s="40" t="s">
        <v>518</v>
      </c>
      <c r="H71" s="40" t="s">
        <v>519</v>
      </c>
      <c r="I71" s="40" t="s">
        <v>520</v>
      </c>
      <c r="J71" s="40"/>
      <c r="K71" s="41" t="s">
        <v>521</v>
      </c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</row>
    <row r="72" ht="21.0" customHeight="1">
      <c r="A72" s="40">
        <v>71.0</v>
      </c>
      <c r="B72" s="40" t="s">
        <v>37</v>
      </c>
      <c r="C72" s="40" t="s">
        <v>522</v>
      </c>
      <c r="D72" s="40"/>
      <c r="E72" s="40" t="s">
        <v>523</v>
      </c>
      <c r="F72" s="40" t="s">
        <v>524</v>
      </c>
      <c r="G72" s="40" t="s">
        <v>525</v>
      </c>
      <c r="H72" s="40" t="s">
        <v>526</v>
      </c>
      <c r="I72" s="40" t="s">
        <v>527</v>
      </c>
      <c r="J72" s="40"/>
      <c r="K72" s="41" t="s">
        <v>528</v>
      </c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</row>
    <row r="73" ht="21.0" customHeight="1">
      <c r="A73" s="40">
        <v>72.0</v>
      </c>
      <c r="B73" s="40" t="s">
        <v>37</v>
      </c>
      <c r="C73" s="40" t="s">
        <v>529</v>
      </c>
      <c r="D73" s="40"/>
      <c r="E73" s="40" t="s">
        <v>530</v>
      </c>
      <c r="F73" s="40" t="s">
        <v>531</v>
      </c>
      <c r="G73" s="40" t="s">
        <v>532</v>
      </c>
      <c r="H73" s="40" t="s">
        <v>533</v>
      </c>
      <c r="I73" s="40" t="s">
        <v>534</v>
      </c>
      <c r="J73" s="40"/>
      <c r="K73" s="41" t="s">
        <v>535</v>
      </c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</row>
    <row r="74" ht="21.0" customHeight="1">
      <c r="A74" s="40">
        <v>73.0</v>
      </c>
      <c r="B74" s="40" t="s">
        <v>39</v>
      </c>
      <c r="C74" s="40" t="s">
        <v>536</v>
      </c>
      <c r="D74" s="40" t="s">
        <v>537</v>
      </c>
      <c r="E74" s="40" t="s">
        <v>538</v>
      </c>
      <c r="F74" s="40" t="s">
        <v>539</v>
      </c>
      <c r="G74" s="40" t="s">
        <v>540</v>
      </c>
      <c r="H74" s="40" t="s">
        <v>541</v>
      </c>
      <c r="I74" s="40" t="s">
        <v>542</v>
      </c>
      <c r="J74" s="40"/>
      <c r="K74" s="41" t="s">
        <v>543</v>
      </c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</row>
    <row r="75" ht="21.0" customHeight="1">
      <c r="A75" s="40">
        <v>74.0</v>
      </c>
      <c r="B75" s="40" t="s">
        <v>39</v>
      </c>
      <c r="C75" s="40" t="s">
        <v>544</v>
      </c>
      <c r="D75" s="40" t="s">
        <v>537</v>
      </c>
      <c r="E75" s="40" t="s">
        <v>538</v>
      </c>
      <c r="F75" s="40" t="s">
        <v>545</v>
      </c>
      <c r="G75" s="40" t="s">
        <v>546</v>
      </c>
      <c r="H75" s="40" t="s">
        <v>547</v>
      </c>
      <c r="I75" s="40" t="s">
        <v>548</v>
      </c>
      <c r="J75" s="40"/>
      <c r="K75" s="41" t="s">
        <v>549</v>
      </c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</row>
    <row r="76" ht="21.0" customHeight="1">
      <c r="A76" s="40">
        <v>75.0</v>
      </c>
      <c r="B76" s="40" t="s">
        <v>39</v>
      </c>
      <c r="C76" s="40" t="s">
        <v>550</v>
      </c>
      <c r="D76" s="40" t="s">
        <v>537</v>
      </c>
      <c r="E76" s="40" t="s">
        <v>538</v>
      </c>
      <c r="F76" s="40" t="s">
        <v>551</v>
      </c>
      <c r="G76" s="40" t="s">
        <v>552</v>
      </c>
      <c r="H76" s="40" t="s">
        <v>553</v>
      </c>
      <c r="I76" s="40" t="s">
        <v>554</v>
      </c>
      <c r="J76" s="40"/>
      <c r="K76" s="41" t="s">
        <v>555</v>
      </c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</row>
    <row r="77" ht="21.0" customHeight="1">
      <c r="A77" s="40">
        <v>76.0</v>
      </c>
      <c r="B77" s="40" t="s">
        <v>39</v>
      </c>
      <c r="C77" s="40" t="s">
        <v>556</v>
      </c>
      <c r="D77" s="40" t="s">
        <v>537</v>
      </c>
      <c r="E77" s="40" t="s">
        <v>538</v>
      </c>
      <c r="F77" s="40" t="s">
        <v>557</v>
      </c>
      <c r="G77" s="40" t="s">
        <v>558</v>
      </c>
      <c r="H77" s="40" t="s">
        <v>559</v>
      </c>
      <c r="I77" s="40" t="s">
        <v>560</v>
      </c>
      <c r="J77" s="40"/>
      <c r="K77" s="41" t="s">
        <v>561</v>
      </c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</row>
    <row r="78" ht="21.0" customHeight="1">
      <c r="A78" s="40">
        <v>77.0</v>
      </c>
      <c r="B78" s="40" t="s">
        <v>39</v>
      </c>
      <c r="C78" s="40" t="s">
        <v>562</v>
      </c>
      <c r="D78" s="40" t="s">
        <v>563</v>
      </c>
      <c r="E78" s="40" t="s">
        <v>564</v>
      </c>
      <c r="F78" s="40" t="s">
        <v>565</v>
      </c>
      <c r="G78" s="40" t="s">
        <v>566</v>
      </c>
      <c r="H78" s="40" t="s">
        <v>567</v>
      </c>
      <c r="I78" s="40" t="s">
        <v>568</v>
      </c>
      <c r="J78" s="40"/>
      <c r="K78" s="41" t="s">
        <v>569</v>
      </c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</row>
    <row r="79" ht="21.0" customHeight="1">
      <c r="A79" s="40">
        <v>78.0</v>
      </c>
      <c r="B79" s="40" t="s">
        <v>39</v>
      </c>
      <c r="C79" s="40" t="s">
        <v>570</v>
      </c>
      <c r="D79" s="40" t="s">
        <v>563</v>
      </c>
      <c r="E79" s="40" t="s">
        <v>564</v>
      </c>
      <c r="F79" s="40" t="s">
        <v>571</v>
      </c>
      <c r="G79" s="40" t="s">
        <v>572</v>
      </c>
      <c r="H79" s="40" t="s">
        <v>573</v>
      </c>
      <c r="I79" s="40" t="s">
        <v>574</v>
      </c>
      <c r="J79" s="40"/>
      <c r="K79" s="41" t="s">
        <v>575</v>
      </c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</row>
    <row r="80" ht="21.0" customHeight="1">
      <c r="A80" s="40">
        <v>79.0</v>
      </c>
      <c r="B80" s="40" t="s">
        <v>39</v>
      </c>
      <c r="C80" s="40" t="s">
        <v>576</v>
      </c>
      <c r="D80" s="40" t="s">
        <v>577</v>
      </c>
      <c r="E80" s="40" t="s">
        <v>578</v>
      </c>
      <c r="F80" s="40" t="s">
        <v>579</v>
      </c>
      <c r="G80" s="40" t="s">
        <v>580</v>
      </c>
      <c r="H80" s="40" t="s">
        <v>581</v>
      </c>
      <c r="I80" s="40" t="s">
        <v>582</v>
      </c>
      <c r="J80" s="40"/>
      <c r="K80" s="41" t="s">
        <v>583</v>
      </c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</row>
    <row r="81" ht="21.0" customHeight="1">
      <c r="A81" s="40">
        <v>80.0</v>
      </c>
      <c r="B81" s="40" t="s">
        <v>39</v>
      </c>
      <c r="C81" s="40" t="s">
        <v>584</v>
      </c>
      <c r="D81" s="40" t="s">
        <v>577</v>
      </c>
      <c r="E81" s="40" t="s">
        <v>578</v>
      </c>
      <c r="F81" s="40" t="s">
        <v>585</v>
      </c>
      <c r="G81" s="40" t="s">
        <v>586</v>
      </c>
      <c r="H81" s="40" t="s">
        <v>587</v>
      </c>
      <c r="I81" s="40" t="s">
        <v>588</v>
      </c>
      <c r="J81" s="40"/>
      <c r="K81" s="41" t="s">
        <v>589</v>
      </c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</row>
    <row r="82" ht="21.0" customHeight="1">
      <c r="A82" s="40">
        <v>81.0</v>
      </c>
      <c r="B82" s="40" t="s">
        <v>39</v>
      </c>
      <c r="C82" s="40" t="s">
        <v>590</v>
      </c>
      <c r="D82" s="40" t="s">
        <v>577</v>
      </c>
      <c r="E82" s="40" t="s">
        <v>578</v>
      </c>
      <c r="F82" s="40" t="s">
        <v>591</v>
      </c>
      <c r="G82" s="40" t="s">
        <v>592</v>
      </c>
      <c r="H82" s="40" t="s">
        <v>593</v>
      </c>
      <c r="I82" s="40" t="s">
        <v>594</v>
      </c>
      <c r="J82" s="40"/>
      <c r="K82" s="41" t="s">
        <v>595</v>
      </c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</row>
    <row r="83" ht="21.0" customHeight="1">
      <c r="A83" s="40">
        <v>82.0</v>
      </c>
      <c r="B83" s="40" t="s">
        <v>39</v>
      </c>
      <c r="C83" s="40" t="s">
        <v>596</v>
      </c>
      <c r="D83" s="40"/>
      <c r="E83" s="40" t="s">
        <v>597</v>
      </c>
      <c r="F83" s="40" t="s">
        <v>598</v>
      </c>
      <c r="G83" s="40" t="s">
        <v>599</v>
      </c>
      <c r="H83" s="40" t="s">
        <v>600</v>
      </c>
      <c r="I83" s="40" t="s">
        <v>582</v>
      </c>
      <c r="J83" s="40"/>
      <c r="K83" s="41" t="s">
        <v>601</v>
      </c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</row>
    <row r="84" ht="21.0" customHeight="1">
      <c r="A84" s="40">
        <v>83.0</v>
      </c>
      <c r="B84" s="40" t="s">
        <v>39</v>
      </c>
      <c r="C84" s="40" t="s">
        <v>602</v>
      </c>
      <c r="D84" s="40" t="s">
        <v>603</v>
      </c>
      <c r="E84" s="40" t="s">
        <v>604</v>
      </c>
      <c r="F84" s="40" t="s">
        <v>605</v>
      </c>
      <c r="G84" s="40" t="s">
        <v>606</v>
      </c>
      <c r="H84" s="40" t="s">
        <v>607</v>
      </c>
      <c r="I84" s="40" t="s">
        <v>608</v>
      </c>
      <c r="J84" s="40"/>
      <c r="K84" s="41" t="s">
        <v>609</v>
      </c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</row>
    <row r="85" ht="21.0" customHeight="1">
      <c r="A85" s="40">
        <v>84.0</v>
      </c>
      <c r="B85" s="40" t="s">
        <v>39</v>
      </c>
      <c r="C85" s="40" t="s">
        <v>610</v>
      </c>
      <c r="D85" s="40" t="s">
        <v>603</v>
      </c>
      <c r="E85" s="40" t="s">
        <v>604</v>
      </c>
      <c r="F85" s="40" t="s">
        <v>611</v>
      </c>
      <c r="G85" s="40" t="s">
        <v>612</v>
      </c>
      <c r="H85" s="40" t="s">
        <v>613</v>
      </c>
      <c r="I85" s="40" t="s">
        <v>614</v>
      </c>
      <c r="J85" s="40"/>
      <c r="K85" s="41" t="s">
        <v>615</v>
      </c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</row>
    <row r="86" ht="21.0" customHeight="1">
      <c r="A86" s="40">
        <v>85.0</v>
      </c>
      <c r="B86" s="40" t="s">
        <v>39</v>
      </c>
      <c r="C86" s="40" t="s">
        <v>616</v>
      </c>
      <c r="D86" s="40" t="s">
        <v>603</v>
      </c>
      <c r="E86" s="40" t="s">
        <v>604</v>
      </c>
      <c r="F86" s="40" t="s">
        <v>617</v>
      </c>
      <c r="G86" s="40" t="s">
        <v>618</v>
      </c>
      <c r="H86" s="40" t="s">
        <v>619</v>
      </c>
      <c r="I86" s="40" t="s">
        <v>620</v>
      </c>
      <c r="J86" s="40"/>
      <c r="K86" s="41" t="s">
        <v>621</v>
      </c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</row>
    <row r="87" ht="21.0" customHeight="1">
      <c r="A87" s="40">
        <v>86.0</v>
      </c>
      <c r="B87" s="40" t="s">
        <v>39</v>
      </c>
      <c r="C87" s="40" t="s">
        <v>622</v>
      </c>
      <c r="D87" s="40" t="s">
        <v>603</v>
      </c>
      <c r="E87" s="40" t="s">
        <v>604</v>
      </c>
      <c r="F87" s="40" t="s">
        <v>623</v>
      </c>
      <c r="G87" s="40" t="s">
        <v>624</v>
      </c>
      <c r="H87" s="40" t="s">
        <v>625</v>
      </c>
      <c r="I87" s="40" t="s">
        <v>626</v>
      </c>
      <c r="J87" s="40"/>
      <c r="K87" s="41" t="s">
        <v>627</v>
      </c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</row>
    <row r="88" ht="21.0" customHeight="1">
      <c r="A88" s="40">
        <v>87.0</v>
      </c>
      <c r="B88" s="40" t="s">
        <v>39</v>
      </c>
      <c r="C88" s="40" t="s">
        <v>628</v>
      </c>
      <c r="D88" s="40" t="s">
        <v>603</v>
      </c>
      <c r="E88" s="40" t="s">
        <v>604</v>
      </c>
      <c r="F88" s="40" t="s">
        <v>629</v>
      </c>
      <c r="G88" s="40" t="s">
        <v>630</v>
      </c>
      <c r="H88" s="40" t="s">
        <v>631</v>
      </c>
      <c r="I88" s="40" t="s">
        <v>632</v>
      </c>
      <c r="J88" s="40"/>
      <c r="K88" s="41" t="s">
        <v>633</v>
      </c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</row>
    <row r="89" ht="21.0" customHeight="1">
      <c r="A89" s="40">
        <v>88.0</v>
      </c>
      <c r="B89" s="40" t="s">
        <v>39</v>
      </c>
      <c r="C89" s="40" t="s">
        <v>634</v>
      </c>
      <c r="D89" s="40"/>
      <c r="E89" s="40" t="s">
        <v>635</v>
      </c>
      <c r="F89" s="40" t="s">
        <v>636</v>
      </c>
      <c r="G89" s="40" t="s">
        <v>637</v>
      </c>
      <c r="H89" s="40" t="s">
        <v>638</v>
      </c>
      <c r="I89" s="40" t="s">
        <v>639</v>
      </c>
      <c r="J89" s="40"/>
      <c r="K89" s="41" t="s">
        <v>640</v>
      </c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</row>
    <row r="90" ht="21.0" customHeight="1">
      <c r="A90" s="40">
        <v>89.0</v>
      </c>
      <c r="B90" s="40" t="s">
        <v>39</v>
      </c>
      <c r="C90" s="40" t="s">
        <v>641</v>
      </c>
      <c r="D90" s="40" t="s">
        <v>642</v>
      </c>
      <c r="E90" s="40" t="s">
        <v>643</v>
      </c>
      <c r="F90" s="40" t="s">
        <v>644</v>
      </c>
      <c r="G90" s="40" t="s">
        <v>645</v>
      </c>
      <c r="H90" s="40" t="s">
        <v>646</v>
      </c>
      <c r="I90" s="40" t="s">
        <v>647</v>
      </c>
      <c r="J90" s="40"/>
      <c r="K90" s="41" t="s">
        <v>648</v>
      </c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</row>
    <row r="91" ht="21.0" customHeight="1">
      <c r="A91" s="40">
        <v>90.0</v>
      </c>
      <c r="B91" s="40" t="s">
        <v>39</v>
      </c>
      <c r="C91" s="40" t="s">
        <v>649</v>
      </c>
      <c r="D91" s="40" t="s">
        <v>642</v>
      </c>
      <c r="E91" s="40" t="s">
        <v>643</v>
      </c>
      <c r="F91" s="40" t="s">
        <v>650</v>
      </c>
      <c r="G91" s="40" t="s">
        <v>651</v>
      </c>
      <c r="H91" s="40" t="s">
        <v>652</v>
      </c>
      <c r="I91" s="40" t="s">
        <v>653</v>
      </c>
      <c r="J91" s="40"/>
      <c r="K91" s="41" t="s">
        <v>654</v>
      </c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</row>
    <row r="92" ht="21.0" customHeight="1">
      <c r="A92" s="40">
        <v>91.0</v>
      </c>
      <c r="B92" s="40" t="s">
        <v>39</v>
      </c>
      <c r="C92" s="40" t="s">
        <v>655</v>
      </c>
      <c r="D92" s="40" t="s">
        <v>642</v>
      </c>
      <c r="E92" s="40" t="s">
        <v>643</v>
      </c>
      <c r="F92" s="40" t="s">
        <v>656</v>
      </c>
      <c r="G92" s="40" t="s">
        <v>657</v>
      </c>
      <c r="H92" s="40" t="s">
        <v>658</v>
      </c>
      <c r="I92" s="40" t="s">
        <v>659</v>
      </c>
      <c r="J92" s="40"/>
      <c r="K92" s="41" t="s">
        <v>660</v>
      </c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</row>
    <row r="93" ht="21.0" customHeight="1">
      <c r="A93" s="40">
        <v>92.0</v>
      </c>
      <c r="B93" s="40" t="s">
        <v>39</v>
      </c>
      <c r="C93" s="40" t="s">
        <v>661</v>
      </c>
      <c r="D93" s="40" t="s">
        <v>642</v>
      </c>
      <c r="E93" s="40" t="s">
        <v>643</v>
      </c>
      <c r="F93" s="40" t="s">
        <v>662</v>
      </c>
      <c r="G93" s="40" t="s">
        <v>663</v>
      </c>
      <c r="H93" s="40" t="s">
        <v>664</v>
      </c>
      <c r="I93" s="40" t="s">
        <v>665</v>
      </c>
      <c r="J93" s="40"/>
      <c r="K93" s="41" t="s">
        <v>666</v>
      </c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</row>
    <row r="94" ht="21.0" customHeight="1">
      <c r="A94" s="40">
        <v>93.0</v>
      </c>
      <c r="B94" s="40" t="s">
        <v>39</v>
      </c>
      <c r="C94" s="40" t="s">
        <v>667</v>
      </c>
      <c r="D94" s="40" t="s">
        <v>642</v>
      </c>
      <c r="E94" s="40" t="s">
        <v>643</v>
      </c>
      <c r="F94" s="40" t="s">
        <v>668</v>
      </c>
      <c r="G94" s="40" t="s">
        <v>669</v>
      </c>
      <c r="H94" s="40" t="s">
        <v>670</v>
      </c>
      <c r="I94" s="40" t="s">
        <v>671</v>
      </c>
      <c r="J94" s="40"/>
      <c r="K94" s="41" t="s">
        <v>672</v>
      </c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</row>
    <row r="95" ht="21.0" customHeight="1">
      <c r="A95" s="40">
        <v>94.0</v>
      </c>
      <c r="B95" s="40" t="s">
        <v>39</v>
      </c>
      <c r="C95" s="40" t="s">
        <v>673</v>
      </c>
      <c r="D95" s="40" t="s">
        <v>642</v>
      </c>
      <c r="E95" s="40" t="s">
        <v>643</v>
      </c>
      <c r="F95" s="40" t="s">
        <v>674</v>
      </c>
      <c r="G95" s="40" t="s">
        <v>675</v>
      </c>
      <c r="H95" s="40" t="s">
        <v>676</v>
      </c>
      <c r="I95" s="40" t="s">
        <v>659</v>
      </c>
      <c r="J95" s="40"/>
      <c r="K95" s="41" t="s">
        <v>677</v>
      </c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</row>
    <row r="96" ht="21.0" customHeight="1">
      <c r="A96" s="40">
        <v>95.0</v>
      </c>
      <c r="B96" s="40" t="s">
        <v>39</v>
      </c>
      <c r="C96" s="40" t="s">
        <v>678</v>
      </c>
      <c r="D96" s="40" t="s">
        <v>642</v>
      </c>
      <c r="E96" s="40" t="s">
        <v>643</v>
      </c>
      <c r="F96" s="40" t="s">
        <v>679</v>
      </c>
      <c r="G96" s="40" t="s">
        <v>680</v>
      </c>
      <c r="H96" s="40" t="s">
        <v>681</v>
      </c>
      <c r="I96" s="40" t="s">
        <v>653</v>
      </c>
      <c r="J96" s="40"/>
      <c r="K96" s="41" t="s">
        <v>682</v>
      </c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</row>
    <row r="97" ht="21.0" customHeight="1">
      <c r="A97" s="40">
        <v>96.0</v>
      </c>
      <c r="B97" s="40" t="s">
        <v>39</v>
      </c>
      <c r="C97" s="40" t="s">
        <v>683</v>
      </c>
      <c r="D97" s="40" t="s">
        <v>642</v>
      </c>
      <c r="E97" s="40" t="s">
        <v>643</v>
      </c>
      <c r="F97" s="40" t="s">
        <v>684</v>
      </c>
      <c r="G97" s="40" t="s">
        <v>685</v>
      </c>
      <c r="H97" s="40" t="s">
        <v>686</v>
      </c>
      <c r="I97" s="40" t="s">
        <v>687</v>
      </c>
      <c r="J97" s="40"/>
      <c r="K97" s="41" t="s">
        <v>688</v>
      </c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</row>
    <row r="98" ht="21.0" customHeight="1">
      <c r="A98" s="40">
        <v>97.0</v>
      </c>
      <c r="B98" s="40" t="s">
        <v>39</v>
      </c>
      <c r="C98" s="40" t="s">
        <v>689</v>
      </c>
      <c r="D98" s="40" t="s">
        <v>642</v>
      </c>
      <c r="E98" s="40" t="s">
        <v>643</v>
      </c>
      <c r="F98" s="40" t="s">
        <v>690</v>
      </c>
      <c r="G98" s="40" t="s">
        <v>691</v>
      </c>
      <c r="H98" s="40" t="s">
        <v>692</v>
      </c>
      <c r="I98" s="40" t="s">
        <v>693</v>
      </c>
      <c r="J98" s="40"/>
      <c r="K98" s="41" t="s">
        <v>694</v>
      </c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</row>
    <row r="99" ht="21.0" customHeight="1">
      <c r="A99" s="40">
        <v>98.0</v>
      </c>
      <c r="B99" s="40" t="s">
        <v>39</v>
      </c>
      <c r="C99" s="40" t="s">
        <v>695</v>
      </c>
      <c r="D99" s="40" t="s">
        <v>642</v>
      </c>
      <c r="E99" s="40" t="s">
        <v>643</v>
      </c>
      <c r="F99" s="40" t="s">
        <v>696</v>
      </c>
      <c r="G99" s="40" t="s">
        <v>697</v>
      </c>
      <c r="H99" s="40" t="s">
        <v>698</v>
      </c>
      <c r="I99" s="40" t="s">
        <v>699</v>
      </c>
      <c r="J99" s="40"/>
      <c r="K99" s="41" t="s">
        <v>700</v>
      </c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</row>
    <row r="100" ht="21.0" customHeight="1">
      <c r="A100" s="40">
        <v>99.0</v>
      </c>
      <c r="B100" s="40" t="s">
        <v>39</v>
      </c>
      <c r="C100" s="40" t="s">
        <v>701</v>
      </c>
      <c r="D100" s="40" t="s">
        <v>642</v>
      </c>
      <c r="E100" s="40" t="s">
        <v>643</v>
      </c>
      <c r="F100" s="40" t="s">
        <v>702</v>
      </c>
      <c r="G100" s="40"/>
      <c r="H100" s="40" t="s">
        <v>703</v>
      </c>
      <c r="I100" s="40"/>
      <c r="J100" s="40" t="s">
        <v>328</v>
      </c>
      <c r="K100" s="41"/>
      <c r="L100" s="41"/>
      <c r="M100" s="41"/>
      <c r="N100" s="41"/>
      <c r="O100" s="41"/>
      <c r="P100" s="41"/>
      <c r="Q100" s="41"/>
      <c r="R100" s="42"/>
      <c r="S100" s="42"/>
      <c r="T100" s="42"/>
      <c r="U100" s="42"/>
      <c r="V100" s="42"/>
      <c r="W100" s="42"/>
      <c r="X100" s="42"/>
      <c r="Y100" s="42"/>
    </row>
    <row r="101" ht="21.0" customHeight="1">
      <c r="A101" s="40">
        <v>100.0</v>
      </c>
      <c r="B101" s="40" t="s">
        <v>39</v>
      </c>
      <c r="C101" s="40" t="s">
        <v>704</v>
      </c>
      <c r="D101" s="40"/>
      <c r="E101" s="40" t="s">
        <v>705</v>
      </c>
      <c r="F101" s="40" t="s">
        <v>706</v>
      </c>
      <c r="G101" s="44" t="s">
        <v>707</v>
      </c>
      <c r="H101" s="40" t="s">
        <v>708</v>
      </c>
      <c r="I101" s="40" t="s">
        <v>709</v>
      </c>
      <c r="J101" s="40"/>
      <c r="K101" s="41" t="s">
        <v>710</v>
      </c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</row>
    <row r="102" ht="21.0" customHeight="1">
      <c r="A102" s="40">
        <v>101.0</v>
      </c>
      <c r="B102" s="40" t="s">
        <v>39</v>
      </c>
      <c r="C102" s="40" t="s">
        <v>711</v>
      </c>
      <c r="D102" s="40"/>
      <c r="E102" s="40" t="s">
        <v>712</v>
      </c>
      <c r="F102" s="40" t="s">
        <v>713</v>
      </c>
      <c r="G102" s="40" t="s">
        <v>714</v>
      </c>
      <c r="H102" s="40" t="s">
        <v>715</v>
      </c>
      <c r="I102" s="40" t="s">
        <v>716</v>
      </c>
      <c r="J102" s="40"/>
      <c r="K102" s="41" t="s">
        <v>717</v>
      </c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</row>
    <row r="103" ht="21.0" customHeight="1">
      <c r="A103" s="40">
        <v>102.0</v>
      </c>
      <c r="B103" s="40" t="s">
        <v>39</v>
      </c>
      <c r="C103" s="40" t="s">
        <v>718</v>
      </c>
      <c r="D103" s="40"/>
      <c r="E103" s="40" t="s">
        <v>719</v>
      </c>
      <c r="F103" s="40" t="s">
        <v>720</v>
      </c>
      <c r="G103" s="40" t="s">
        <v>721</v>
      </c>
      <c r="H103" s="40" t="s">
        <v>722</v>
      </c>
      <c r="I103" s="40" t="s">
        <v>723</v>
      </c>
      <c r="J103" s="40"/>
      <c r="K103" s="41" t="s">
        <v>724</v>
      </c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</row>
    <row r="104" ht="21.0" customHeight="1">
      <c r="A104" s="40">
        <v>103.0</v>
      </c>
      <c r="B104" s="40" t="s">
        <v>39</v>
      </c>
      <c r="C104" s="49" t="s">
        <v>725</v>
      </c>
      <c r="D104" s="40"/>
      <c r="E104" s="40" t="s">
        <v>726</v>
      </c>
      <c r="F104" s="40" t="s">
        <v>727</v>
      </c>
      <c r="G104" s="51" t="s">
        <v>728</v>
      </c>
      <c r="H104" s="40" t="s">
        <v>729</v>
      </c>
      <c r="I104" s="40"/>
      <c r="J104" s="40" t="s">
        <v>328</v>
      </c>
      <c r="K104" s="41"/>
      <c r="L104" s="41"/>
      <c r="M104" s="41"/>
      <c r="N104" s="41"/>
      <c r="O104" s="41"/>
      <c r="P104" s="41"/>
      <c r="Q104" s="41"/>
      <c r="R104" s="42"/>
      <c r="S104" s="42"/>
      <c r="T104" s="42"/>
      <c r="U104" s="42"/>
      <c r="V104" s="42"/>
      <c r="W104" s="42"/>
      <c r="X104" s="42"/>
      <c r="Y104" s="42"/>
    </row>
    <row r="105" ht="21.0" customHeight="1">
      <c r="A105" s="40">
        <v>104.0</v>
      </c>
      <c r="B105" s="40" t="s">
        <v>39</v>
      </c>
      <c r="C105" s="40" t="s">
        <v>730</v>
      </c>
      <c r="D105" s="40"/>
      <c r="E105" s="40" t="s">
        <v>731</v>
      </c>
      <c r="F105" s="40" t="s">
        <v>732</v>
      </c>
      <c r="G105" s="40" t="s">
        <v>733</v>
      </c>
      <c r="H105" s="40" t="s">
        <v>734</v>
      </c>
      <c r="I105" s="40" t="s">
        <v>735</v>
      </c>
      <c r="J105" s="40"/>
      <c r="K105" s="41" t="s">
        <v>736</v>
      </c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</row>
    <row r="106" ht="21.0" customHeight="1">
      <c r="A106" s="40">
        <v>105.0</v>
      </c>
      <c r="B106" s="40" t="s">
        <v>39</v>
      </c>
      <c r="C106" s="40" t="s">
        <v>737</v>
      </c>
      <c r="D106" s="40"/>
      <c r="E106" s="40" t="s">
        <v>738</v>
      </c>
      <c r="F106" s="40" t="s">
        <v>739</v>
      </c>
      <c r="G106" s="40" t="s">
        <v>740</v>
      </c>
      <c r="H106" s="40" t="s">
        <v>741</v>
      </c>
      <c r="I106" s="40" t="s">
        <v>742</v>
      </c>
      <c r="J106" s="40"/>
      <c r="K106" s="41" t="s">
        <v>743</v>
      </c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</row>
    <row r="107" ht="21.0" customHeight="1">
      <c r="A107" s="40">
        <v>106.0</v>
      </c>
      <c r="B107" s="40" t="s">
        <v>39</v>
      </c>
      <c r="C107" s="40" t="s">
        <v>744</v>
      </c>
      <c r="D107" s="40"/>
      <c r="E107" s="40" t="s">
        <v>745</v>
      </c>
      <c r="F107" s="40" t="s">
        <v>746</v>
      </c>
      <c r="G107" s="40" t="s">
        <v>747</v>
      </c>
      <c r="H107" s="40" t="s">
        <v>748</v>
      </c>
      <c r="I107" s="40" t="s">
        <v>749</v>
      </c>
      <c r="J107" s="40"/>
      <c r="K107" s="41" t="s">
        <v>750</v>
      </c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</row>
    <row r="108" ht="21.0" customHeight="1">
      <c r="A108" s="40">
        <v>107.0</v>
      </c>
      <c r="B108" s="40" t="s">
        <v>39</v>
      </c>
      <c r="C108" s="40" t="s">
        <v>751</v>
      </c>
      <c r="D108" s="40" t="s">
        <v>752</v>
      </c>
      <c r="E108" s="40" t="s">
        <v>753</v>
      </c>
      <c r="F108" s="40" t="s">
        <v>754</v>
      </c>
      <c r="G108" s="40" t="s">
        <v>755</v>
      </c>
      <c r="H108" s="40" t="s">
        <v>756</v>
      </c>
      <c r="I108" s="40" t="s">
        <v>757</v>
      </c>
      <c r="J108" s="40"/>
      <c r="K108" s="41" t="s">
        <v>758</v>
      </c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</row>
    <row r="109" ht="21.0" customHeight="1">
      <c r="A109" s="40">
        <v>108.0</v>
      </c>
      <c r="B109" s="40" t="s">
        <v>39</v>
      </c>
      <c r="C109" s="40" t="s">
        <v>759</v>
      </c>
      <c r="D109" s="40" t="s">
        <v>752</v>
      </c>
      <c r="E109" s="40" t="s">
        <v>760</v>
      </c>
      <c r="F109" s="40" t="s">
        <v>761</v>
      </c>
      <c r="G109" s="40" t="s">
        <v>762</v>
      </c>
      <c r="H109" s="40" t="s">
        <v>763</v>
      </c>
      <c r="I109" s="40" t="s">
        <v>764</v>
      </c>
      <c r="J109" s="40"/>
      <c r="K109" s="41" t="s">
        <v>765</v>
      </c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</row>
    <row r="110" ht="21.0" customHeight="1">
      <c r="A110" s="40">
        <v>109.0</v>
      </c>
      <c r="B110" s="40" t="s">
        <v>39</v>
      </c>
      <c r="C110" s="40" t="s">
        <v>766</v>
      </c>
      <c r="D110" s="40" t="s">
        <v>752</v>
      </c>
      <c r="E110" s="40" t="s">
        <v>767</v>
      </c>
      <c r="F110" s="40" t="s">
        <v>768</v>
      </c>
      <c r="G110" s="40" t="s">
        <v>769</v>
      </c>
      <c r="H110" s="40" t="s">
        <v>770</v>
      </c>
      <c r="I110" s="40" t="s">
        <v>771</v>
      </c>
      <c r="J110" s="40"/>
      <c r="K110" s="41" t="s">
        <v>772</v>
      </c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</row>
    <row r="111" ht="21.0" customHeight="1">
      <c r="A111" s="40">
        <v>110.0</v>
      </c>
      <c r="B111" s="40" t="s">
        <v>39</v>
      </c>
      <c r="C111" s="40" t="s">
        <v>773</v>
      </c>
      <c r="D111" s="40" t="s">
        <v>774</v>
      </c>
      <c r="E111" s="40" t="s">
        <v>775</v>
      </c>
      <c r="F111" s="40" t="s">
        <v>776</v>
      </c>
      <c r="G111" s="40" t="s">
        <v>777</v>
      </c>
      <c r="H111" s="40" t="s">
        <v>778</v>
      </c>
      <c r="I111" s="40" t="s">
        <v>779</v>
      </c>
      <c r="J111" s="40"/>
      <c r="K111" s="41" t="s">
        <v>780</v>
      </c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</row>
    <row r="112" ht="21.0" customHeight="1">
      <c r="A112" s="40">
        <v>111.0</v>
      </c>
      <c r="B112" s="40" t="s">
        <v>39</v>
      </c>
      <c r="C112" s="40" t="s">
        <v>781</v>
      </c>
      <c r="D112" s="40" t="s">
        <v>774</v>
      </c>
      <c r="E112" s="40" t="s">
        <v>782</v>
      </c>
      <c r="F112" s="40" t="s">
        <v>783</v>
      </c>
      <c r="G112" s="40" t="s">
        <v>784</v>
      </c>
      <c r="H112" s="40" t="s">
        <v>785</v>
      </c>
      <c r="I112" s="40" t="s">
        <v>779</v>
      </c>
      <c r="J112" s="40"/>
      <c r="K112" s="41" t="s">
        <v>786</v>
      </c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</row>
    <row r="113" ht="21.0" customHeight="1">
      <c r="A113" s="40">
        <v>112.0</v>
      </c>
      <c r="B113" s="40" t="s">
        <v>39</v>
      </c>
      <c r="C113" s="40" t="s">
        <v>787</v>
      </c>
      <c r="D113" s="40"/>
      <c r="E113" s="40" t="s">
        <v>788</v>
      </c>
      <c r="F113" s="40" t="s">
        <v>789</v>
      </c>
      <c r="G113" s="40" t="s">
        <v>790</v>
      </c>
      <c r="H113" s="40" t="s">
        <v>791</v>
      </c>
      <c r="I113" s="40" t="s">
        <v>792</v>
      </c>
      <c r="J113" s="40"/>
      <c r="K113" s="41" t="s">
        <v>793</v>
      </c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</row>
    <row r="114" ht="21.0" customHeight="1">
      <c r="A114" s="40">
        <v>113.0</v>
      </c>
      <c r="B114" s="40" t="s">
        <v>39</v>
      </c>
      <c r="C114" s="40" t="s">
        <v>794</v>
      </c>
      <c r="D114" s="40"/>
      <c r="E114" s="40" t="s">
        <v>795</v>
      </c>
      <c r="F114" s="40" t="s">
        <v>796</v>
      </c>
      <c r="G114" s="40" t="s">
        <v>797</v>
      </c>
      <c r="H114" s="40" t="s">
        <v>798</v>
      </c>
      <c r="I114" s="40" t="s">
        <v>799</v>
      </c>
      <c r="J114" s="40"/>
      <c r="K114" s="41" t="s">
        <v>800</v>
      </c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</row>
    <row r="115" ht="21.0" customHeight="1">
      <c r="A115" s="40">
        <v>114.0</v>
      </c>
      <c r="B115" s="40" t="s">
        <v>39</v>
      </c>
      <c r="C115" s="40" t="s">
        <v>801</v>
      </c>
      <c r="D115" s="40"/>
      <c r="E115" s="40" t="s">
        <v>802</v>
      </c>
      <c r="F115" s="40" t="s">
        <v>803</v>
      </c>
      <c r="G115" s="40" t="s">
        <v>804</v>
      </c>
      <c r="H115" s="40" t="s">
        <v>805</v>
      </c>
      <c r="I115" s="40" t="s">
        <v>806</v>
      </c>
      <c r="J115" s="40"/>
      <c r="K115" s="41" t="s">
        <v>807</v>
      </c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</row>
    <row r="116" ht="21.0" customHeight="1">
      <c r="A116" s="40">
        <v>115.0</v>
      </c>
      <c r="B116" s="40" t="s">
        <v>39</v>
      </c>
      <c r="C116" s="40" t="s">
        <v>808</v>
      </c>
      <c r="D116" s="40"/>
      <c r="E116" s="40" t="s">
        <v>809</v>
      </c>
      <c r="F116" s="40" t="s">
        <v>810</v>
      </c>
      <c r="G116" s="40" t="s">
        <v>811</v>
      </c>
      <c r="H116" s="40" t="s">
        <v>812</v>
      </c>
      <c r="I116" s="40" t="s">
        <v>813</v>
      </c>
      <c r="J116" s="40"/>
      <c r="K116" s="41" t="s">
        <v>814</v>
      </c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</row>
    <row r="117" ht="21.0" customHeight="1">
      <c r="A117" s="40">
        <v>116.0</v>
      </c>
      <c r="B117" s="40" t="s">
        <v>39</v>
      </c>
      <c r="C117" s="40" t="s">
        <v>815</v>
      </c>
      <c r="D117" s="40" t="s">
        <v>816</v>
      </c>
      <c r="E117" s="40" t="s">
        <v>817</v>
      </c>
      <c r="F117" s="40" t="s">
        <v>818</v>
      </c>
      <c r="G117" s="40" t="s">
        <v>819</v>
      </c>
      <c r="H117" s="40" t="s">
        <v>820</v>
      </c>
      <c r="I117" s="40" t="s">
        <v>821</v>
      </c>
      <c r="J117" s="40"/>
      <c r="K117" s="41" t="s">
        <v>822</v>
      </c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</row>
    <row r="118" ht="21.0" customHeight="1">
      <c r="A118" s="40">
        <v>117.0</v>
      </c>
      <c r="B118" s="40" t="s">
        <v>39</v>
      </c>
      <c r="C118" s="40" t="s">
        <v>823</v>
      </c>
      <c r="D118" s="40" t="s">
        <v>816</v>
      </c>
      <c r="E118" s="40" t="s">
        <v>824</v>
      </c>
      <c r="F118" s="40" t="s">
        <v>825</v>
      </c>
      <c r="G118" s="40" t="s">
        <v>826</v>
      </c>
      <c r="H118" s="40" t="s">
        <v>827</v>
      </c>
      <c r="I118" s="40" t="s">
        <v>828</v>
      </c>
      <c r="J118" s="40"/>
      <c r="K118" s="41" t="s">
        <v>829</v>
      </c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</row>
    <row r="119" ht="21.0" customHeight="1">
      <c r="A119" s="40">
        <v>118.0</v>
      </c>
      <c r="B119" s="40" t="s">
        <v>39</v>
      </c>
      <c r="C119" s="40" t="s">
        <v>830</v>
      </c>
      <c r="D119" s="40" t="s">
        <v>831</v>
      </c>
      <c r="E119" s="40" t="s">
        <v>832</v>
      </c>
      <c r="F119" s="40" t="s">
        <v>833</v>
      </c>
      <c r="G119" s="40" t="s">
        <v>834</v>
      </c>
      <c r="H119" s="40" t="s">
        <v>835</v>
      </c>
      <c r="I119" s="40" t="s">
        <v>554</v>
      </c>
      <c r="J119" s="40"/>
      <c r="K119" s="41" t="s">
        <v>836</v>
      </c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</row>
    <row r="120" ht="21.0" customHeight="1">
      <c r="A120" s="40">
        <v>119.0</v>
      </c>
      <c r="B120" s="40" t="s">
        <v>39</v>
      </c>
      <c r="C120" s="40" t="s">
        <v>837</v>
      </c>
      <c r="D120" s="40" t="s">
        <v>831</v>
      </c>
      <c r="E120" s="40" t="s">
        <v>838</v>
      </c>
      <c r="F120" s="40" t="s">
        <v>839</v>
      </c>
      <c r="G120" s="40" t="s">
        <v>840</v>
      </c>
      <c r="H120" s="40" t="s">
        <v>841</v>
      </c>
      <c r="I120" s="40" t="s">
        <v>842</v>
      </c>
      <c r="J120" s="40"/>
      <c r="K120" s="41" t="s">
        <v>843</v>
      </c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</row>
    <row r="121" ht="21.0" customHeight="1">
      <c r="A121" s="40">
        <v>120.0</v>
      </c>
      <c r="B121" s="40" t="s">
        <v>39</v>
      </c>
      <c r="C121" s="40" t="s">
        <v>844</v>
      </c>
      <c r="D121" s="40" t="s">
        <v>845</v>
      </c>
      <c r="E121" s="40" t="s">
        <v>846</v>
      </c>
      <c r="F121" s="40" t="s">
        <v>847</v>
      </c>
      <c r="G121" s="40" t="s">
        <v>848</v>
      </c>
      <c r="H121" s="40" t="s">
        <v>849</v>
      </c>
      <c r="I121" s="40" t="s">
        <v>850</v>
      </c>
      <c r="J121" s="40"/>
      <c r="K121" s="41" t="s">
        <v>851</v>
      </c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</row>
    <row r="122" ht="21.0" customHeight="1">
      <c r="A122" s="40">
        <v>121.0</v>
      </c>
      <c r="B122" s="40" t="s">
        <v>39</v>
      </c>
      <c r="C122" s="40" t="s">
        <v>852</v>
      </c>
      <c r="D122" s="40" t="s">
        <v>845</v>
      </c>
      <c r="E122" s="40" t="s">
        <v>846</v>
      </c>
      <c r="F122" s="40" t="s">
        <v>853</v>
      </c>
      <c r="G122" s="40" t="s">
        <v>854</v>
      </c>
      <c r="H122" s="40" t="s">
        <v>855</v>
      </c>
      <c r="I122" s="40" t="s">
        <v>856</v>
      </c>
      <c r="J122" s="40"/>
      <c r="K122" s="41" t="s">
        <v>857</v>
      </c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</row>
    <row r="123" ht="21.0" customHeight="1">
      <c r="A123" s="40">
        <v>122.0</v>
      </c>
      <c r="B123" s="40" t="s">
        <v>39</v>
      </c>
      <c r="C123" s="40" t="s">
        <v>858</v>
      </c>
      <c r="D123" s="40"/>
      <c r="E123" s="40" t="s">
        <v>859</v>
      </c>
      <c r="F123" s="40" t="s">
        <v>860</v>
      </c>
      <c r="G123" s="40" t="s">
        <v>861</v>
      </c>
      <c r="H123" s="40" t="s">
        <v>862</v>
      </c>
      <c r="I123" s="40" t="s">
        <v>863</v>
      </c>
      <c r="J123" s="40"/>
      <c r="K123" s="41" t="s">
        <v>864</v>
      </c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</row>
    <row r="124" ht="21.0" customHeight="1">
      <c r="A124" s="40">
        <v>123.0</v>
      </c>
      <c r="B124" s="40" t="s">
        <v>39</v>
      </c>
      <c r="C124" s="40" t="s">
        <v>865</v>
      </c>
      <c r="D124" s="40"/>
      <c r="E124" s="40" t="s">
        <v>866</v>
      </c>
      <c r="F124" s="40" t="s">
        <v>867</v>
      </c>
      <c r="G124" s="40" t="s">
        <v>868</v>
      </c>
      <c r="H124" s="40" t="s">
        <v>869</v>
      </c>
      <c r="I124" s="40" t="s">
        <v>870</v>
      </c>
      <c r="J124" s="40"/>
      <c r="K124" s="41" t="s">
        <v>871</v>
      </c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</row>
    <row r="125" ht="21.0" customHeight="1">
      <c r="A125" s="40">
        <v>124.0</v>
      </c>
      <c r="B125" s="40" t="s">
        <v>39</v>
      </c>
      <c r="C125" s="40" t="s">
        <v>872</v>
      </c>
      <c r="D125" s="40"/>
      <c r="E125" s="40" t="s">
        <v>873</v>
      </c>
      <c r="F125" s="40" t="s">
        <v>874</v>
      </c>
      <c r="G125" s="40" t="s">
        <v>875</v>
      </c>
      <c r="H125" s="40" t="s">
        <v>876</v>
      </c>
      <c r="I125" s="40" t="s">
        <v>877</v>
      </c>
      <c r="J125" s="40"/>
      <c r="K125" s="41" t="s">
        <v>878</v>
      </c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</row>
    <row r="126" ht="21.0" customHeight="1">
      <c r="A126" s="40">
        <v>125.0</v>
      </c>
      <c r="B126" s="40" t="s">
        <v>39</v>
      </c>
      <c r="C126" s="40" t="s">
        <v>879</v>
      </c>
      <c r="D126" s="40"/>
      <c r="E126" s="40" t="s">
        <v>880</v>
      </c>
      <c r="F126" s="40" t="s">
        <v>881</v>
      </c>
      <c r="G126" s="40" t="s">
        <v>882</v>
      </c>
      <c r="H126" s="40" t="s">
        <v>883</v>
      </c>
      <c r="I126" s="40" t="s">
        <v>884</v>
      </c>
      <c r="J126" s="40"/>
      <c r="K126" s="41" t="s">
        <v>885</v>
      </c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</row>
    <row r="127" ht="21.0" customHeight="1">
      <c r="A127" s="40">
        <v>126.0</v>
      </c>
      <c r="B127" s="40" t="s">
        <v>39</v>
      </c>
      <c r="C127" s="40" t="s">
        <v>886</v>
      </c>
      <c r="D127" s="40" t="s">
        <v>887</v>
      </c>
      <c r="E127" s="40" t="s">
        <v>888</v>
      </c>
      <c r="F127" s="40" t="s">
        <v>889</v>
      </c>
      <c r="G127" s="40" t="s">
        <v>890</v>
      </c>
      <c r="H127" s="40" t="s">
        <v>891</v>
      </c>
      <c r="I127" s="40" t="s">
        <v>892</v>
      </c>
      <c r="J127" s="40"/>
      <c r="K127" s="41" t="s">
        <v>893</v>
      </c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</row>
    <row r="128" ht="21.0" customHeight="1">
      <c r="A128" s="40">
        <v>127.0</v>
      </c>
      <c r="B128" s="40" t="s">
        <v>39</v>
      </c>
      <c r="C128" s="40" t="s">
        <v>894</v>
      </c>
      <c r="D128" s="40" t="s">
        <v>887</v>
      </c>
      <c r="E128" s="40" t="s">
        <v>888</v>
      </c>
      <c r="F128" s="40" t="s">
        <v>895</v>
      </c>
      <c r="G128" s="40" t="s">
        <v>896</v>
      </c>
      <c r="H128" s="40" t="s">
        <v>897</v>
      </c>
      <c r="I128" s="40" t="s">
        <v>898</v>
      </c>
      <c r="J128" s="40"/>
      <c r="K128" s="41" t="s">
        <v>899</v>
      </c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</row>
    <row r="129" ht="21.0" customHeight="1">
      <c r="A129" s="40">
        <v>128.0</v>
      </c>
      <c r="B129" s="40" t="s">
        <v>39</v>
      </c>
      <c r="C129" s="40" t="s">
        <v>900</v>
      </c>
      <c r="D129" s="40" t="s">
        <v>887</v>
      </c>
      <c r="E129" s="40" t="s">
        <v>901</v>
      </c>
      <c r="F129" s="40" t="s">
        <v>902</v>
      </c>
      <c r="G129" s="40" t="s">
        <v>903</v>
      </c>
      <c r="H129" s="40" t="s">
        <v>904</v>
      </c>
      <c r="I129" s="40" t="s">
        <v>905</v>
      </c>
      <c r="J129" s="40"/>
      <c r="K129" s="41" t="s">
        <v>906</v>
      </c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</row>
    <row r="130" ht="21.0" customHeight="1">
      <c r="A130" s="40">
        <v>129.0</v>
      </c>
      <c r="B130" s="40" t="s">
        <v>39</v>
      </c>
      <c r="C130" s="40" t="s">
        <v>907</v>
      </c>
      <c r="D130" s="40" t="s">
        <v>887</v>
      </c>
      <c r="E130" s="40" t="s">
        <v>908</v>
      </c>
      <c r="F130" s="40" t="s">
        <v>909</v>
      </c>
      <c r="G130" s="40" t="s">
        <v>910</v>
      </c>
      <c r="H130" s="40" t="s">
        <v>911</v>
      </c>
      <c r="I130" s="40" t="s">
        <v>912</v>
      </c>
      <c r="J130" s="40"/>
      <c r="K130" s="41" t="s">
        <v>913</v>
      </c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</row>
    <row r="131" ht="21.0" customHeight="1">
      <c r="A131" s="40">
        <v>130.0</v>
      </c>
      <c r="B131" s="40" t="s">
        <v>39</v>
      </c>
      <c r="C131" s="40" t="s">
        <v>914</v>
      </c>
      <c r="D131" s="40"/>
      <c r="E131" s="40" t="s">
        <v>915</v>
      </c>
      <c r="F131" s="40" t="s">
        <v>916</v>
      </c>
      <c r="G131" s="40" t="s">
        <v>917</v>
      </c>
      <c r="H131" s="40" t="s">
        <v>918</v>
      </c>
      <c r="I131" s="40" t="s">
        <v>919</v>
      </c>
      <c r="J131" s="40"/>
      <c r="K131" s="41" t="s">
        <v>920</v>
      </c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</row>
    <row r="132" ht="21.0" customHeight="1">
      <c r="A132" s="40">
        <v>131.0</v>
      </c>
      <c r="B132" s="40" t="s">
        <v>39</v>
      </c>
      <c r="C132" s="40" t="s">
        <v>921</v>
      </c>
      <c r="D132" s="40"/>
      <c r="E132" s="40" t="s">
        <v>922</v>
      </c>
      <c r="F132" s="40" t="s">
        <v>923</v>
      </c>
      <c r="G132" s="40" t="s">
        <v>924</v>
      </c>
      <c r="H132" s="40" t="s">
        <v>925</v>
      </c>
      <c r="I132" s="40" t="s">
        <v>926</v>
      </c>
      <c r="J132" s="40"/>
      <c r="K132" s="41" t="s">
        <v>927</v>
      </c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</row>
    <row r="133" ht="21.0" customHeight="1">
      <c r="A133" s="40">
        <v>132.0</v>
      </c>
      <c r="B133" s="40" t="s">
        <v>39</v>
      </c>
      <c r="C133" s="40" t="s">
        <v>928</v>
      </c>
      <c r="D133" s="40"/>
      <c r="E133" s="40" t="s">
        <v>929</v>
      </c>
      <c r="F133" s="40" t="s">
        <v>930</v>
      </c>
      <c r="G133" s="40" t="s">
        <v>931</v>
      </c>
      <c r="H133" s="40" t="s">
        <v>932</v>
      </c>
      <c r="I133" s="40" t="s">
        <v>933</v>
      </c>
      <c r="J133" s="40" t="s">
        <v>934</v>
      </c>
      <c r="K133" s="41" t="s">
        <v>935</v>
      </c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</row>
    <row r="134" ht="21.0" customHeight="1">
      <c r="A134" s="40">
        <v>133.0</v>
      </c>
      <c r="B134" s="40" t="s">
        <v>39</v>
      </c>
      <c r="C134" s="40" t="s">
        <v>936</v>
      </c>
      <c r="D134" s="40"/>
      <c r="E134" s="40" t="s">
        <v>937</v>
      </c>
      <c r="F134" s="40" t="s">
        <v>938</v>
      </c>
      <c r="G134" s="40" t="s">
        <v>939</v>
      </c>
      <c r="H134" s="40" t="s">
        <v>940</v>
      </c>
      <c r="I134" s="40" t="s">
        <v>941</v>
      </c>
      <c r="J134" s="40" t="s">
        <v>942</v>
      </c>
      <c r="K134" s="41" t="s">
        <v>943</v>
      </c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</row>
    <row r="135" ht="21.0" customHeight="1">
      <c r="A135" s="40">
        <v>134.0</v>
      </c>
      <c r="B135" s="40" t="s">
        <v>39</v>
      </c>
      <c r="C135" s="40" t="s">
        <v>944</v>
      </c>
      <c r="D135" s="40"/>
      <c r="E135" s="40" t="s">
        <v>945</v>
      </c>
      <c r="F135" s="40" t="s">
        <v>946</v>
      </c>
      <c r="G135" s="40" t="s">
        <v>947</v>
      </c>
      <c r="H135" s="40" t="s">
        <v>948</v>
      </c>
      <c r="I135" s="40" t="s">
        <v>949</v>
      </c>
      <c r="J135" s="40"/>
      <c r="K135" s="41" t="s">
        <v>950</v>
      </c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</row>
    <row r="136" ht="21.0" customHeight="1">
      <c r="A136" s="40">
        <v>135.0</v>
      </c>
      <c r="B136" s="40" t="s">
        <v>39</v>
      </c>
      <c r="C136" s="40" t="s">
        <v>951</v>
      </c>
      <c r="D136" s="40"/>
      <c r="E136" s="40" t="s">
        <v>952</v>
      </c>
      <c r="F136" s="40" t="s">
        <v>953</v>
      </c>
      <c r="G136" s="40" t="s">
        <v>954</v>
      </c>
      <c r="H136" s="40" t="s">
        <v>955</v>
      </c>
      <c r="I136" s="40" t="s">
        <v>956</v>
      </c>
      <c r="J136" s="40"/>
      <c r="K136" s="41" t="s">
        <v>957</v>
      </c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</row>
    <row r="137" ht="21.0" customHeight="1">
      <c r="A137" s="40">
        <v>136.0</v>
      </c>
      <c r="B137" s="40" t="s">
        <v>39</v>
      </c>
      <c r="C137" s="40" t="s">
        <v>958</v>
      </c>
      <c r="D137" s="40"/>
      <c r="E137" s="40" t="s">
        <v>959</v>
      </c>
      <c r="F137" s="40" t="s">
        <v>960</v>
      </c>
      <c r="G137" s="40" t="s">
        <v>961</v>
      </c>
      <c r="H137" s="40" t="s">
        <v>962</v>
      </c>
      <c r="I137" s="40" t="s">
        <v>963</v>
      </c>
      <c r="J137" s="40"/>
      <c r="K137" s="41" t="s">
        <v>964</v>
      </c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</row>
    <row r="138" ht="21.0" customHeight="1">
      <c r="A138" s="40">
        <v>137.0</v>
      </c>
      <c r="B138" s="40" t="s">
        <v>39</v>
      </c>
      <c r="C138" s="40" t="s">
        <v>965</v>
      </c>
      <c r="D138" s="40"/>
      <c r="E138" s="40" t="s">
        <v>966</v>
      </c>
      <c r="F138" s="40" t="s">
        <v>967</v>
      </c>
      <c r="G138" s="40" t="s">
        <v>968</v>
      </c>
      <c r="H138" s="40" t="s">
        <v>969</v>
      </c>
      <c r="I138" s="40" t="s">
        <v>970</v>
      </c>
      <c r="J138" s="40"/>
      <c r="K138" s="41" t="s">
        <v>971</v>
      </c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</row>
    <row r="139" ht="21.0" customHeight="1">
      <c r="A139" s="40">
        <v>138.0</v>
      </c>
      <c r="B139" s="40" t="s">
        <v>39</v>
      </c>
      <c r="C139" s="40" t="s">
        <v>972</v>
      </c>
      <c r="D139" s="40"/>
      <c r="E139" s="40" t="s">
        <v>973</v>
      </c>
      <c r="F139" s="40" t="s">
        <v>974</v>
      </c>
      <c r="G139" s="40" t="s">
        <v>975</v>
      </c>
      <c r="H139" s="40" t="s">
        <v>976</v>
      </c>
      <c r="I139" s="40" t="s">
        <v>977</v>
      </c>
      <c r="J139" s="40"/>
      <c r="K139" s="41" t="s">
        <v>978</v>
      </c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</row>
    <row r="140" ht="21.0" customHeight="1">
      <c r="A140" s="40">
        <v>139.0</v>
      </c>
      <c r="B140" s="40" t="s">
        <v>39</v>
      </c>
      <c r="C140" s="40" t="s">
        <v>979</v>
      </c>
      <c r="D140" s="40"/>
      <c r="E140" s="40" t="s">
        <v>980</v>
      </c>
      <c r="F140" s="40" t="s">
        <v>981</v>
      </c>
      <c r="G140" s="40" t="s">
        <v>982</v>
      </c>
      <c r="H140" s="40" t="s">
        <v>983</v>
      </c>
      <c r="I140" s="40" t="s">
        <v>963</v>
      </c>
      <c r="J140" s="40"/>
      <c r="K140" s="41" t="s">
        <v>984</v>
      </c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</row>
    <row r="141" ht="21.0" customHeight="1">
      <c r="A141" s="40">
        <v>140.0</v>
      </c>
      <c r="B141" s="40" t="s">
        <v>39</v>
      </c>
      <c r="C141" s="40" t="s">
        <v>985</v>
      </c>
      <c r="D141" s="40" t="s">
        <v>986</v>
      </c>
      <c r="E141" s="40" t="s">
        <v>987</v>
      </c>
      <c r="F141" s="40" t="s">
        <v>988</v>
      </c>
      <c r="G141" s="40" t="s">
        <v>989</v>
      </c>
      <c r="H141" s="40" t="s">
        <v>990</v>
      </c>
      <c r="I141" s="40" t="s">
        <v>991</v>
      </c>
      <c r="J141" s="40"/>
      <c r="K141" s="41" t="s">
        <v>992</v>
      </c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</row>
    <row r="142" ht="21.0" customHeight="1">
      <c r="A142" s="40">
        <v>141.0</v>
      </c>
      <c r="B142" s="40" t="s">
        <v>39</v>
      </c>
      <c r="C142" s="40" t="s">
        <v>993</v>
      </c>
      <c r="D142" s="40" t="s">
        <v>986</v>
      </c>
      <c r="E142" s="40" t="s">
        <v>994</v>
      </c>
      <c r="F142" s="40" t="s">
        <v>995</v>
      </c>
      <c r="G142" s="40" t="s">
        <v>996</v>
      </c>
      <c r="H142" s="40" t="s">
        <v>997</v>
      </c>
      <c r="I142" s="40" t="s">
        <v>998</v>
      </c>
      <c r="J142" s="40"/>
      <c r="K142" s="41" t="s">
        <v>999</v>
      </c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</row>
    <row r="143" ht="21.0" customHeight="1">
      <c r="A143" s="40">
        <v>142.0</v>
      </c>
      <c r="B143" s="40" t="s">
        <v>39</v>
      </c>
      <c r="C143" s="40" t="s">
        <v>1000</v>
      </c>
      <c r="D143" s="40"/>
      <c r="E143" s="40" t="s">
        <v>1001</v>
      </c>
      <c r="F143" s="40" t="s">
        <v>1002</v>
      </c>
      <c r="G143" s="40" t="s">
        <v>1003</v>
      </c>
      <c r="H143" s="40" t="s">
        <v>1004</v>
      </c>
      <c r="I143" s="40" t="s">
        <v>647</v>
      </c>
      <c r="J143" s="40"/>
      <c r="K143" s="41" t="s">
        <v>1005</v>
      </c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</row>
    <row r="144" ht="21.0" customHeight="1">
      <c r="A144" s="40">
        <v>143.0</v>
      </c>
      <c r="B144" s="40" t="s">
        <v>39</v>
      </c>
      <c r="C144" s="40" t="s">
        <v>1006</v>
      </c>
      <c r="D144" s="40"/>
      <c r="E144" s="40" t="s">
        <v>1007</v>
      </c>
      <c r="F144" s="40" t="s">
        <v>1008</v>
      </c>
      <c r="G144" s="40" t="s">
        <v>1009</v>
      </c>
      <c r="H144" s="40" t="s">
        <v>1010</v>
      </c>
      <c r="I144" s="40" t="s">
        <v>1011</v>
      </c>
      <c r="J144" s="40"/>
      <c r="K144" s="41" t="s">
        <v>1012</v>
      </c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</row>
    <row r="145" ht="21.0" customHeight="1">
      <c r="A145" s="40">
        <v>144.0</v>
      </c>
      <c r="B145" s="40" t="s">
        <v>39</v>
      </c>
      <c r="C145" s="40" t="s">
        <v>1013</v>
      </c>
      <c r="D145" s="40" t="s">
        <v>1014</v>
      </c>
      <c r="E145" s="40" t="s">
        <v>1015</v>
      </c>
      <c r="F145" s="40" t="s">
        <v>1016</v>
      </c>
      <c r="G145" s="40" t="s">
        <v>1017</v>
      </c>
      <c r="H145" s="40" t="s">
        <v>1018</v>
      </c>
      <c r="I145" s="40" t="s">
        <v>1019</v>
      </c>
      <c r="J145" s="40"/>
      <c r="K145" s="41" t="s">
        <v>1020</v>
      </c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</row>
    <row r="146" ht="21.0" customHeight="1">
      <c r="A146" s="40">
        <v>145.0</v>
      </c>
      <c r="B146" s="40" t="s">
        <v>39</v>
      </c>
      <c r="C146" s="40" t="s">
        <v>1021</v>
      </c>
      <c r="D146" s="40" t="s">
        <v>1014</v>
      </c>
      <c r="E146" s="40" t="s">
        <v>1015</v>
      </c>
      <c r="F146" s="40" t="s">
        <v>1022</v>
      </c>
      <c r="G146" s="40" t="s">
        <v>1023</v>
      </c>
      <c r="H146" s="40" t="s">
        <v>1024</v>
      </c>
      <c r="I146" s="40" t="s">
        <v>1025</v>
      </c>
      <c r="J146" s="40"/>
      <c r="K146" s="41" t="s">
        <v>1026</v>
      </c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</row>
    <row r="147" ht="21.0" customHeight="1">
      <c r="A147" s="40">
        <v>146.0</v>
      </c>
      <c r="B147" s="40" t="s">
        <v>39</v>
      </c>
      <c r="C147" s="40" t="s">
        <v>1027</v>
      </c>
      <c r="D147" s="40" t="s">
        <v>1028</v>
      </c>
      <c r="E147" s="40" t="s">
        <v>1029</v>
      </c>
      <c r="F147" s="40" t="s">
        <v>1030</v>
      </c>
      <c r="G147" s="40" t="s">
        <v>1031</v>
      </c>
      <c r="H147" s="40" t="s">
        <v>1032</v>
      </c>
      <c r="I147" s="40" t="s">
        <v>1033</v>
      </c>
      <c r="J147" s="40"/>
      <c r="K147" s="41" t="s">
        <v>1034</v>
      </c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</row>
    <row r="148" ht="21.0" customHeight="1">
      <c r="A148" s="40">
        <v>147.0</v>
      </c>
      <c r="B148" s="40" t="s">
        <v>39</v>
      </c>
      <c r="C148" s="40" t="s">
        <v>1035</v>
      </c>
      <c r="D148" s="40" t="s">
        <v>1028</v>
      </c>
      <c r="E148" s="40" t="s">
        <v>1029</v>
      </c>
      <c r="F148" s="40" t="s">
        <v>1036</v>
      </c>
      <c r="G148" s="40" t="s">
        <v>1037</v>
      </c>
      <c r="H148" s="40" t="s">
        <v>1038</v>
      </c>
      <c r="I148" s="40" t="s">
        <v>1039</v>
      </c>
      <c r="J148" s="40"/>
      <c r="K148" s="41" t="s">
        <v>1040</v>
      </c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</row>
    <row r="149" ht="21.0" customHeight="1">
      <c r="A149" s="40">
        <v>148.0</v>
      </c>
      <c r="B149" s="40" t="s">
        <v>39</v>
      </c>
      <c r="C149" s="40" t="s">
        <v>1041</v>
      </c>
      <c r="D149" s="40" t="s">
        <v>1028</v>
      </c>
      <c r="E149" s="40" t="s">
        <v>1029</v>
      </c>
      <c r="F149" s="40" t="s">
        <v>1042</v>
      </c>
      <c r="G149" s="40" t="s">
        <v>1043</v>
      </c>
      <c r="H149" s="40" t="s">
        <v>1044</v>
      </c>
      <c r="I149" s="40" t="s">
        <v>1045</v>
      </c>
      <c r="J149" s="40"/>
      <c r="K149" s="41" t="s">
        <v>1046</v>
      </c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</row>
    <row r="150" ht="21.0" customHeight="1">
      <c r="A150" s="40">
        <v>149.0</v>
      </c>
      <c r="B150" s="40" t="s">
        <v>39</v>
      </c>
      <c r="C150" s="40" t="s">
        <v>1047</v>
      </c>
      <c r="D150" s="40"/>
      <c r="E150" s="40" t="s">
        <v>1048</v>
      </c>
      <c r="F150" s="40" t="s">
        <v>1049</v>
      </c>
      <c r="G150" s="40" t="s">
        <v>1050</v>
      </c>
      <c r="H150" s="40" t="s">
        <v>1051</v>
      </c>
      <c r="I150" s="40" t="s">
        <v>1052</v>
      </c>
      <c r="J150" s="40"/>
      <c r="K150" s="41" t="s">
        <v>1053</v>
      </c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</row>
    <row r="151" ht="21.0" customHeight="1">
      <c r="A151" s="40">
        <v>150.0</v>
      </c>
      <c r="B151" s="40" t="s">
        <v>39</v>
      </c>
      <c r="C151" s="40" t="s">
        <v>1054</v>
      </c>
      <c r="D151" s="40" t="s">
        <v>1055</v>
      </c>
      <c r="E151" s="40" t="s">
        <v>1056</v>
      </c>
      <c r="F151" s="40" t="s">
        <v>1057</v>
      </c>
      <c r="G151" s="40" t="s">
        <v>1058</v>
      </c>
      <c r="H151" s="40" t="s">
        <v>1059</v>
      </c>
      <c r="I151" s="40" t="s">
        <v>1060</v>
      </c>
      <c r="J151" s="40"/>
      <c r="K151" s="41" t="s">
        <v>1061</v>
      </c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</row>
    <row r="152" ht="21.0" customHeight="1">
      <c r="A152" s="40">
        <v>151.0</v>
      </c>
      <c r="B152" s="40" t="s">
        <v>39</v>
      </c>
      <c r="C152" s="40" t="s">
        <v>1062</v>
      </c>
      <c r="D152" s="40" t="s">
        <v>1055</v>
      </c>
      <c r="E152" s="40" t="s">
        <v>1056</v>
      </c>
      <c r="F152" s="40" t="s">
        <v>1063</v>
      </c>
      <c r="G152" s="40" t="s">
        <v>1064</v>
      </c>
      <c r="H152" s="40" t="s">
        <v>1065</v>
      </c>
      <c r="I152" s="40" t="s">
        <v>1066</v>
      </c>
      <c r="J152" s="40"/>
      <c r="K152" s="41" t="s">
        <v>1067</v>
      </c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</row>
    <row r="153" ht="21.0" customHeight="1">
      <c r="A153" s="40">
        <v>152.0</v>
      </c>
      <c r="B153" s="40" t="s">
        <v>39</v>
      </c>
      <c r="C153" s="40" t="s">
        <v>1068</v>
      </c>
      <c r="D153" s="40" t="s">
        <v>1069</v>
      </c>
      <c r="E153" s="40" t="s">
        <v>1070</v>
      </c>
      <c r="F153" s="40" t="s">
        <v>1071</v>
      </c>
      <c r="G153" s="40" t="s">
        <v>1072</v>
      </c>
      <c r="H153" s="40" t="s">
        <v>1073</v>
      </c>
      <c r="I153" s="40" t="s">
        <v>1074</v>
      </c>
      <c r="J153" s="40"/>
      <c r="K153" s="41" t="s">
        <v>1075</v>
      </c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</row>
    <row r="154" ht="21.0" customHeight="1">
      <c r="A154" s="40">
        <v>153.0</v>
      </c>
      <c r="B154" s="40" t="s">
        <v>39</v>
      </c>
      <c r="C154" s="40" t="s">
        <v>1076</v>
      </c>
      <c r="D154" s="40" t="s">
        <v>1069</v>
      </c>
      <c r="E154" s="40" t="s">
        <v>1077</v>
      </c>
      <c r="F154" s="40" t="s">
        <v>1078</v>
      </c>
      <c r="G154" s="40" t="s">
        <v>1079</v>
      </c>
      <c r="H154" s="40" t="s">
        <v>1080</v>
      </c>
      <c r="I154" s="40" t="s">
        <v>1081</v>
      </c>
      <c r="J154" s="40"/>
      <c r="K154" s="41" t="s">
        <v>1082</v>
      </c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</row>
    <row r="155" ht="21.0" customHeight="1">
      <c r="A155" s="40">
        <v>154.0</v>
      </c>
      <c r="B155" s="40" t="s">
        <v>39</v>
      </c>
      <c r="C155" s="40" t="s">
        <v>1083</v>
      </c>
      <c r="D155" s="40" t="s">
        <v>1069</v>
      </c>
      <c r="E155" s="40" t="s">
        <v>1084</v>
      </c>
      <c r="F155" s="40" t="s">
        <v>1085</v>
      </c>
      <c r="G155" s="40" t="s">
        <v>1086</v>
      </c>
      <c r="H155" s="40" t="s">
        <v>1087</v>
      </c>
      <c r="I155" s="40" t="s">
        <v>1088</v>
      </c>
      <c r="J155" s="40"/>
      <c r="K155" s="41" t="s">
        <v>1089</v>
      </c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</row>
    <row r="156" ht="21.0" customHeight="1">
      <c r="A156" s="40">
        <v>155.0</v>
      </c>
      <c r="B156" s="40" t="s">
        <v>39</v>
      </c>
      <c r="C156" s="40" t="s">
        <v>1090</v>
      </c>
      <c r="D156" s="40"/>
      <c r="E156" s="40" t="s">
        <v>1091</v>
      </c>
      <c r="F156" s="40" t="s">
        <v>1092</v>
      </c>
      <c r="G156" s="40" t="s">
        <v>1093</v>
      </c>
      <c r="H156" s="40" t="s">
        <v>1094</v>
      </c>
      <c r="I156" s="40" t="s">
        <v>1095</v>
      </c>
      <c r="J156" s="40"/>
      <c r="K156" s="41" t="s">
        <v>1096</v>
      </c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</row>
    <row r="157" ht="21.0" customHeight="1">
      <c r="A157" s="40">
        <v>156.0</v>
      </c>
      <c r="B157" s="40" t="s">
        <v>41</v>
      </c>
      <c r="C157" s="40" t="s">
        <v>1097</v>
      </c>
      <c r="D157" s="40"/>
      <c r="E157" s="40" t="s">
        <v>1098</v>
      </c>
      <c r="F157" s="40" t="s">
        <v>1099</v>
      </c>
      <c r="G157" s="51" t="s">
        <v>1100</v>
      </c>
      <c r="H157" s="40" t="s">
        <v>1101</v>
      </c>
      <c r="I157" s="40"/>
      <c r="J157" s="40" t="s">
        <v>328</v>
      </c>
      <c r="K157" s="41"/>
      <c r="L157" s="41"/>
      <c r="M157" s="41"/>
      <c r="N157" s="41"/>
      <c r="O157" s="41"/>
      <c r="P157" s="41"/>
      <c r="Q157" s="41"/>
      <c r="R157" s="42"/>
      <c r="S157" s="42"/>
      <c r="T157" s="42"/>
      <c r="U157" s="42"/>
      <c r="V157" s="42"/>
      <c r="W157" s="42"/>
      <c r="X157" s="42"/>
      <c r="Y157" s="42"/>
    </row>
    <row r="158" ht="21.0" customHeight="1">
      <c r="A158" s="40">
        <v>157.0</v>
      </c>
      <c r="B158" s="40" t="s">
        <v>41</v>
      </c>
      <c r="C158" s="40" t="s">
        <v>1102</v>
      </c>
      <c r="D158" s="40" t="s">
        <v>1103</v>
      </c>
      <c r="E158" s="40" t="s">
        <v>1104</v>
      </c>
      <c r="F158" s="40" t="s">
        <v>1105</v>
      </c>
      <c r="G158" s="44" t="s">
        <v>1106</v>
      </c>
      <c r="H158" s="40" t="s">
        <v>1107</v>
      </c>
      <c r="I158" s="40" t="s">
        <v>1108</v>
      </c>
      <c r="J158" s="40"/>
      <c r="K158" s="41" t="s">
        <v>1109</v>
      </c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</row>
    <row r="159" ht="21.0" customHeight="1">
      <c r="A159" s="40">
        <v>158.0</v>
      </c>
      <c r="B159" s="40" t="s">
        <v>41</v>
      </c>
      <c r="C159" s="40" t="s">
        <v>1110</v>
      </c>
      <c r="D159" s="40" t="s">
        <v>1103</v>
      </c>
      <c r="E159" s="40" t="s">
        <v>1111</v>
      </c>
      <c r="F159" s="40" t="s">
        <v>1112</v>
      </c>
      <c r="G159" s="40" t="s">
        <v>1113</v>
      </c>
      <c r="H159" s="40" t="s">
        <v>1114</v>
      </c>
      <c r="I159" s="40" t="s">
        <v>1115</v>
      </c>
      <c r="J159" s="40"/>
      <c r="K159" s="41" t="s">
        <v>1116</v>
      </c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</row>
    <row r="160" ht="21.0" customHeight="1">
      <c r="A160" s="40">
        <v>159.0</v>
      </c>
      <c r="B160" s="40" t="s">
        <v>41</v>
      </c>
      <c r="C160" s="40" t="s">
        <v>1117</v>
      </c>
      <c r="D160" s="40" t="s">
        <v>1103</v>
      </c>
      <c r="E160" s="40" t="s">
        <v>1118</v>
      </c>
      <c r="F160" s="40" t="s">
        <v>1119</v>
      </c>
      <c r="G160" s="40" t="s">
        <v>1120</v>
      </c>
      <c r="H160" s="40" t="s">
        <v>1121</v>
      </c>
      <c r="I160" s="40" t="s">
        <v>1122</v>
      </c>
      <c r="J160" s="40"/>
      <c r="K160" s="41" t="s">
        <v>1123</v>
      </c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</row>
    <row r="161" ht="21.0" customHeight="1">
      <c r="A161" s="40">
        <v>160.0</v>
      </c>
      <c r="B161" s="40" t="s">
        <v>41</v>
      </c>
      <c r="C161" s="40" t="s">
        <v>1124</v>
      </c>
      <c r="D161" s="40" t="s">
        <v>1103</v>
      </c>
      <c r="E161" s="40" t="s">
        <v>1111</v>
      </c>
      <c r="F161" s="40" t="s">
        <v>1125</v>
      </c>
      <c r="G161" s="40" t="s">
        <v>1126</v>
      </c>
      <c r="H161" s="40" t="s">
        <v>1127</v>
      </c>
      <c r="I161" s="40" t="s">
        <v>1128</v>
      </c>
      <c r="J161" s="40"/>
      <c r="K161" s="41" t="s">
        <v>1129</v>
      </c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</row>
    <row r="162" ht="21.0" customHeight="1">
      <c r="A162" s="40">
        <v>161.0</v>
      </c>
      <c r="B162" s="40" t="s">
        <v>41</v>
      </c>
      <c r="C162" s="40" t="s">
        <v>1130</v>
      </c>
      <c r="D162" s="40" t="s">
        <v>1103</v>
      </c>
      <c r="E162" s="40" t="s">
        <v>1118</v>
      </c>
      <c r="F162" s="40" t="s">
        <v>1131</v>
      </c>
      <c r="G162" s="40" t="s">
        <v>1132</v>
      </c>
      <c r="H162" s="40" t="s">
        <v>1133</v>
      </c>
      <c r="I162" s="40" t="s">
        <v>1134</v>
      </c>
      <c r="J162" s="40"/>
      <c r="K162" s="41" t="s">
        <v>1135</v>
      </c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</row>
    <row r="163" ht="21.0" customHeight="1">
      <c r="A163" s="40">
        <v>162.0</v>
      </c>
      <c r="B163" s="40" t="s">
        <v>41</v>
      </c>
      <c r="C163" s="40" t="s">
        <v>1136</v>
      </c>
      <c r="D163" s="40" t="s">
        <v>1103</v>
      </c>
      <c r="E163" s="40" t="s">
        <v>1137</v>
      </c>
      <c r="F163" s="40" t="s">
        <v>1138</v>
      </c>
      <c r="G163" s="40" t="s">
        <v>1139</v>
      </c>
      <c r="H163" s="40" t="s">
        <v>1140</v>
      </c>
      <c r="I163" s="40" t="s">
        <v>1141</v>
      </c>
      <c r="J163" s="40"/>
      <c r="K163" s="41" t="s">
        <v>1142</v>
      </c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</row>
    <row r="164" ht="21.0" customHeight="1">
      <c r="A164" s="40">
        <v>163.0</v>
      </c>
      <c r="B164" s="40" t="s">
        <v>41</v>
      </c>
      <c r="C164" s="40" t="s">
        <v>1143</v>
      </c>
      <c r="D164" s="40" t="s">
        <v>1103</v>
      </c>
      <c r="E164" s="40" t="s">
        <v>1144</v>
      </c>
      <c r="F164" s="40" t="s">
        <v>1145</v>
      </c>
      <c r="G164" s="40" t="s">
        <v>1146</v>
      </c>
      <c r="H164" s="40" t="s">
        <v>1147</v>
      </c>
      <c r="I164" s="40" t="s">
        <v>1148</v>
      </c>
      <c r="J164" s="40"/>
      <c r="K164" s="41" t="s">
        <v>1149</v>
      </c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</row>
    <row r="165" ht="21.0" customHeight="1">
      <c r="A165" s="40">
        <v>164.0</v>
      </c>
      <c r="B165" s="40" t="s">
        <v>41</v>
      </c>
      <c r="C165" s="40" t="s">
        <v>1150</v>
      </c>
      <c r="D165" s="40" t="s">
        <v>1103</v>
      </c>
      <c r="E165" s="40" t="s">
        <v>1151</v>
      </c>
      <c r="F165" s="40" t="s">
        <v>1152</v>
      </c>
      <c r="G165" s="51" t="s">
        <v>1153</v>
      </c>
      <c r="H165" s="40" t="s">
        <v>1154</v>
      </c>
      <c r="I165" s="40"/>
      <c r="J165" s="40" t="s">
        <v>328</v>
      </c>
      <c r="K165" s="41"/>
      <c r="L165" s="41"/>
      <c r="M165" s="41"/>
      <c r="N165" s="41"/>
      <c r="O165" s="41"/>
      <c r="P165" s="41"/>
      <c r="Q165" s="41"/>
      <c r="R165" s="42"/>
      <c r="S165" s="42"/>
      <c r="T165" s="42"/>
      <c r="U165" s="42"/>
      <c r="V165" s="42"/>
      <c r="W165" s="42"/>
      <c r="X165" s="42"/>
      <c r="Y165" s="42"/>
    </row>
    <row r="166" ht="21.0" customHeight="1">
      <c r="A166" s="40">
        <v>165.0</v>
      </c>
      <c r="B166" s="40" t="s">
        <v>41</v>
      </c>
      <c r="C166" s="40" t="s">
        <v>1155</v>
      </c>
      <c r="D166" s="40" t="s">
        <v>1156</v>
      </c>
      <c r="E166" s="40" t="s">
        <v>1157</v>
      </c>
      <c r="F166" s="40" t="s">
        <v>1158</v>
      </c>
      <c r="G166" s="40" t="s">
        <v>1159</v>
      </c>
      <c r="H166" s="40" t="s">
        <v>1160</v>
      </c>
      <c r="I166" s="40" t="s">
        <v>1161</v>
      </c>
      <c r="J166" s="40"/>
      <c r="K166" s="41" t="s">
        <v>1162</v>
      </c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</row>
    <row r="167" ht="21.0" customHeight="1">
      <c r="A167" s="40">
        <v>166.0</v>
      </c>
      <c r="B167" s="40" t="s">
        <v>41</v>
      </c>
      <c r="C167" s="40" t="s">
        <v>1163</v>
      </c>
      <c r="D167" s="40" t="s">
        <v>1156</v>
      </c>
      <c r="E167" s="40" t="s">
        <v>1157</v>
      </c>
      <c r="F167" s="40" t="s">
        <v>1164</v>
      </c>
      <c r="G167" s="40" t="s">
        <v>1165</v>
      </c>
      <c r="H167" s="40" t="s">
        <v>1166</v>
      </c>
      <c r="I167" s="40" t="s">
        <v>1167</v>
      </c>
      <c r="J167" s="40"/>
      <c r="K167" s="41" t="s">
        <v>1168</v>
      </c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</row>
    <row r="168" ht="21.0" customHeight="1">
      <c r="A168" s="40">
        <v>167.0</v>
      </c>
      <c r="B168" s="40" t="s">
        <v>41</v>
      </c>
      <c r="C168" s="40" t="s">
        <v>1169</v>
      </c>
      <c r="D168" s="40" t="s">
        <v>1156</v>
      </c>
      <c r="E168" s="40" t="s">
        <v>1157</v>
      </c>
      <c r="F168" s="40" t="s">
        <v>1170</v>
      </c>
      <c r="G168" s="40" t="s">
        <v>1171</v>
      </c>
      <c r="H168" s="40" t="s">
        <v>1172</v>
      </c>
      <c r="I168" s="40" t="s">
        <v>1173</v>
      </c>
      <c r="J168" s="40"/>
      <c r="K168" s="41" t="s">
        <v>1174</v>
      </c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</row>
    <row r="169" ht="21.0" customHeight="1">
      <c r="A169" s="40">
        <v>168.0</v>
      </c>
      <c r="B169" s="40" t="s">
        <v>41</v>
      </c>
      <c r="C169" s="40" t="s">
        <v>1175</v>
      </c>
      <c r="D169" s="40"/>
      <c r="E169" s="40" t="s">
        <v>1176</v>
      </c>
      <c r="F169" s="40" t="s">
        <v>1177</v>
      </c>
      <c r="G169" s="40" t="s">
        <v>1178</v>
      </c>
      <c r="H169" s="40" t="s">
        <v>1179</v>
      </c>
      <c r="I169" s="40" t="s">
        <v>1180</v>
      </c>
      <c r="J169" s="40"/>
      <c r="K169" s="41" t="s">
        <v>1181</v>
      </c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</row>
    <row r="170" ht="21.0" customHeight="1">
      <c r="A170" s="40">
        <v>169.0</v>
      </c>
      <c r="B170" s="40" t="s">
        <v>41</v>
      </c>
      <c r="C170" s="40" t="s">
        <v>1182</v>
      </c>
      <c r="D170" s="40"/>
      <c r="E170" s="40" t="s">
        <v>1183</v>
      </c>
      <c r="F170" s="40" t="s">
        <v>1184</v>
      </c>
      <c r="G170" s="40" t="s">
        <v>1185</v>
      </c>
      <c r="H170" s="40" t="s">
        <v>1186</v>
      </c>
      <c r="I170" s="40" t="s">
        <v>1187</v>
      </c>
      <c r="J170" s="40"/>
      <c r="K170" s="41" t="s">
        <v>1188</v>
      </c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</row>
    <row r="171" ht="21.0" customHeight="1">
      <c r="A171" s="40">
        <v>170.0</v>
      </c>
      <c r="B171" s="40" t="s">
        <v>41</v>
      </c>
      <c r="C171" s="40" t="s">
        <v>1189</v>
      </c>
      <c r="D171" s="40"/>
      <c r="E171" s="40" t="s">
        <v>1190</v>
      </c>
      <c r="F171" s="40" t="s">
        <v>1191</v>
      </c>
      <c r="G171" s="40" t="s">
        <v>1192</v>
      </c>
      <c r="H171" s="40" t="s">
        <v>1193</v>
      </c>
      <c r="I171" s="40" t="s">
        <v>1194</v>
      </c>
      <c r="J171" s="40"/>
      <c r="K171" s="41" t="s">
        <v>1195</v>
      </c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</row>
    <row r="172" ht="21.0" customHeight="1">
      <c r="A172" s="40">
        <v>171.0</v>
      </c>
      <c r="B172" s="40" t="s">
        <v>41</v>
      </c>
      <c r="C172" s="40" t="s">
        <v>1196</v>
      </c>
      <c r="D172" s="40"/>
      <c r="E172" s="40" t="s">
        <v>1197</v>
      </c>
      <c r="F172" s="40" t="s">
        <v>1198</v>
      </c>
      <c r="G172" s="40" t="s">
        <v>1199</v>
      </c>
      <c r="H172" s="40" t="s">
        <v>1200</v>
      </c>
      <c r="I172" s="40" t="s">
        <v>1201</v>
      </c>
      <c r="J172" s="40"/>
      <c r="K172" s="41" t="s">
        <v>1202</v>
      </c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</row>
    <row r="173" ht="21.0" customHeight="1">
      <c r="A173" s="40">
        <v>172.0</v>
      </c>
      <c r="B173" s="40" t="s">
        <v>41</v>
      </c>
      <c r="C173" s="40" t="s">
        <v>1203</v>
      </c>
      <c r="D173" s="40"/>
      <c r="E173" s="40" t="s">
        <v>1204</v>
      </c>
      <c r="F173" s="40" t="s">
        <v>1205</v>
      </c>
      <c r="G173" s="40" t="s">
        <v>1206</v>
      </c>
      <c r="H173" s="40" t="s">
        <v>1207</v>
      </c>
      <c r="I173" s="40" t="s">
        <v>1208</v>
      </c>
      <c r="J173" s="40"/>
      <c r="K173" s="41" t="s">
        <v>1209</v>
      </c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</row>
    <row r="174" ht="21.0" customHeight="1">
      <c r="A174" s="40">
        <v>173.0</v>
      </c>
      <c r="B174" s="40" t="s">
        <v>41</v>
      </c>
      <c r="C174" s="40" t="s">
        <v>1210</v>
      </c>
      <c r="D174" s="40" t="s">
        <v>1211</v>
      </c>
      <c r="E174" s="40" t="s">
        <v>1212</v>
      </c>
      <c r="F174" s="40" t="s">
        <v>1213</v>
      </c>
      <c r="G174" s="40" t="s">
        <v>1214</v>
      </c>
      <c r="H174" s="40" t="s">
        <v>1215</v>
      </c>
      <c r="I174" s="40" t="s">
        <v>1216</v>
      </c>
      <c r="J174" s="40"/>
      <c r="K174" s="41" t="s">
        <v>1217</v>
      </c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</row>
    <row r="175" ht="21.0" customHeight="1">
      <c r="A175" s="40">
        <v>174.0</v>
      </c>
      <c r="B175" s="40" t="s">
        <v>41</v>
      </c>
      <c r="C175" s="40" t="s">
        <v>1218</v>
      </c>
      <c r="D175" s="40" t="s">
        <v>1211</v>
      </c>
      <c r="E175" s="40" t="s">
        <v>1212</v>
      </c>
      <c r="F175" s="40" t="s">
        <v>1219</v>
      </c>
      <c r="G175" s="40" t="s">
        <v>1220</v>
      </c>
      <c r="H175" s="40" t="s">
        <v>1221</v>
      </c>
      <c r="I175" s="40" t="s">
        <v>1222</v>
      </c>
      <c r="J175" s="40"/>
      <c r="K175" s="41" t="s">
        <v>1223</v>
      </c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</row>
    <row r="176" ht="21.0" customHeight="1">
      <c r="A176" s="40">
        <v>175.0</v>
      </c>
      <c r="B176" s="40" t="s">
        <v>41</v>
      </c>
      <c r="C176" s="40" t="s">
        <v>1224</v>
      </c>
      <c r="D176" s="40"/>
      <c r="E176" s="40" t="s">
        <v>1225</v>
      </c>
      <c r="F176" s="40" t="s">
        <v>1226</v>
      </c>
      <c r="G176" s="40" t="s">
        <v>1227</v>
      </c>
      <c r="H176" s="40" t="s">
        <v>1228</v>
      </c>
      <c r="I176" s="40" t="s">
        <v>1229</v>
      </c>
      <c r="J176" s="40"/>
      <c r="K176" s="41" t="s">
        <v>1230</v>
      </c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</row>
    <row r="177" ht="21.0" customHeight="1">
      <c r="A177" s="40">
        <v>176.0</v>
      </c>
      <c r="B177" s="40" t="s">
        <v>41</v>
      </c>
      <c r="C177" s="40" t="s">
        <v>1231</v>
      </c>
      <c r="D177" s="40" t="s">
        <v>1232</v>
      </c>
      <c r="E177" s="40" t="s">
        <v>1233</v>
      </c>
      <c r="F177" s="40" t="s">
        <v>1234</v>
      </c>
      <c r="G177" s="40" t="s">
        <v>1235</v>
      </c>
      <c r="H177" s="40" t="s">
        <v>1236</v>
      </c>
      <c r="I177" s="40" t="s">
        <v>1237</v>
      </c>
      <c r="J177" s="40"/>
      <c r="K177" s="41" t="s">
        <v>1238</v>
      </c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</row>
    <row r="178" ht="21.0" customHeight="1">
      <c r="A178" s="40">
        <v>177.0</v>
      </c>
      <c r="B178" s="40" t="s">
        <v>41</v>
      </c>
      <c r="C178" s="40" t="s">
        <v>1239</v>
      </c>
      <c r="D178" s="40" t="s">
        <v>1232</v>
      </c>
      <c r="E178" s="40" t="s">
        <v>1233</v>
      </c>
      <c r="F178" s="40" t="s">
        <v>1240</v>
      </c>
      <c r="G178" s="40" t="s">
        <v>1241</v>
      </c>
      <c r="H178" s="40" t="s">
        <v>1242</v>
      </c>
      <c r="I178" s="40" t="s">
        <v>1243</v>
      </c>
      <c r="J178" s="40"/>
      <c r="K178" s="41" t="s">
        <v>1244</v>
      </c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</row>
    <row r="179" ht="21.0" customHeight="1">
      <c r="A179" s="40">
        <v>178.0</v>
      </c>
      <c r="B179" s="40" t="s">
        <v>41</v>
      </c>
      <c r="C179" s="40" t="s">
        <v>1245</v>
      </c>
      <c r="D179" s="40" t="s">
        <v>1232</v>
      </c>
      <c r="E179" s="40" t="s">
        <v>1233</v>
      </c>
      <c r="F179" s="40" t="s">
        <v>1246</v>
      </c>
      <c r="G179" s="40" t="s">
        <v>1247</v>
      </c>
      <c r="H179" s="40" t="s">
        <v>1248</v>
      </c>
      <c r="I179" s="40" t="s">
        <v>1237</v>
      </c>
      <c r="J179" s="40"/>
      <c r="K179" s="41" t="s">
        <v>1249</v>
      </c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</row>
    <row r="180" ht="21.0" customHeight="1">
      <c r="A180" s="40">
        <v>179.0</v>
      </c>
      <c r="B180" s="40" t="s">
        <v>41</v>
      </c>
      <c r="C180" s="40" t="s">
        <v>1250</v>
      </c>
      <c r="D180" s="40" t="s">
        <v>1251</v>
      </c>
      <c r="E180" s="40" t="s">
        <v>1252</v>
      </c>
      <c r="F180" s="40" t="s">
        <v>1253</v>
      </c>
      <c r="G180" s="40" t="s">
        <v>1254</v>
      </c>
      <c r="H180" s="40" t="s">
        <v>1255</v>
      </c>
      <c r="I180" s="40" t="s">
        <v>1256</v>
      </c>
      <c r="J180" s="40"/>
      <c r="K180" s="41" t="s">
        <v>1257</v>
      </c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</row>
    <row r="181" ht="21.0" customHeight="1">
      <c r="A181" s="40">
        <v>180.0</v>
      </c>
      <c r="B181" s="40" t="s">
        <v>41</v>
      </c>
      <c r="C181" s="40" t="s">
        <v>1258</v>
      </c>
      <c r="D181" s="40" t="s">
        <v>1251</v>
      </c>
      <c r="E181" s="40" t="s">
        <v>1259</v>
      </c>
      <c r="F181" s="40" t="s">
        <v>1260</v>
      </c>
      <c r="G181" s="40" t="s">
        <v>1261</v>
      </c>
      <c r="H181" s="40" t="s">
        <v>1262</v>
      </c>
      <c r="I181" s="40" t="s">
        <v>1263</v>
      </c>
      <c r="J181" s="40"/>
      <c r="K181" s="41" t="s">
        <v>1264</v>
      </c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</row>
    <row r="182" ht="21.0" customHeight="1">
      <c r="A182" s="40">
        <v>181.0</v>
      </c>
      <c r="B182" s="40" t="s">
        <v>41</v>
      </c>
      <c r="C182" s="40" t="s">
        <v>1265</v>
      </c>
      <c r="D182" s="40" t="s">
        <v>1251</v>
      </c>
      <c r="E182" s="40" t="s">
        <v>1266</v>
      </c>
      <c r="F182" s="40" t="s">
        <v>1267</v>
      </c>
      <c r="G182" s="40" t="s">
        <v>1268</v>
      </c>
      <c r="H182" s="40" t="s">
        <v>1269</v>
      </c>
      <c r="I182" s="40" t="s">
        <v>1270</v>
      </c>
      <c r="J182" s="40"/>
      <c r="K182" s="41" t="s">
        <v>1271</v>
      </c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</row>
    <row r="183" ht="21.0" customHeight="1">
      <c r="A183" s="40">
        <v>182.0</v>
      </c>
      <c r="B183" s="40" t="s">
        <v>41</v>
      </c>
      <c r="C183" s="40" t="s">
        <v>1272</v>
      </c>
      <c r="D183" s="40" t="s">
        <v>1251</v>
      </c>
      <c r="E183" s="40" t="s">
        <v>1273</v>
      </c>
      <c r="F183" s="40" t="s">
        <v>1274</v>
      </c>
      <c r="G183" s="40" t="s">
        <v>1275</v>
      </c>
      <c r="H183" s="40" t="s">
        <v>1276</v>
      </c>
      <c r="I183" s="40" t="s">
        <v>1277</v>
      </c>
      <c r="J183" s="40"/>
      <c r="K183" s="41" t="s">
        <v>1278</v>
      </c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</row>
    <row r="184" ht="21.0" customHeight="1">
      <c r="A184" s="40">
        <v>183.0</v>
      </c>
      <c r="B184" s="40" t="s">
        <v>41</v>
      </c>
      <c r="C184" s="40" t="s">
        <v>1279</v>
      </c>
      <c r="D184" s="40" t="s">
        <v>1251</v>
      </c>
      <c r="E184" s="40" t="s">
        <v>1280</v>
      </c>
      <c r="F184" s="40" t="s">
        <v>1281</v>
      </c>
      <c r="G184" s="40" t="s">
        <v>1282</v>
      </c>
      <c r="H184" s="40" t="s">
        <v>1283</v>
      </c>
      <c r="I184" s="40" t="s">
        <v>1284</v>
      </c>
      <c r="J184" s="40"/>
      <c r="K184" s="41" t="s">
        <v>1285</v>
      </c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</row>
    <row r="185" ht="21.0" customHeight="1">
      <c r="A185" s="40">
        <v>184.0</v>
      </c>
      <c r="B185" s="40" t="s">
        <v>41</v>
      </c>
      <c r="C185" s="40" t="s">
        <v>1286</v>
      </c>
      <c r="D185" s="40" t="s">
        <v>1251</v>
      </c>
      <c r="E185" s="40" t="s">
        <v>1287</v>
      </c>
      <c r="F185" s="40" t="s">
        <v>1288</v>
      </c>
      <c r="G185" s="40" t="s">
        <v>1289</v>
      </c>
      <c r="H185" s="40" t="s">
        <v>1290</v>
      </c>
      <c r="I185" s="40" t="s">
        <v>1291</v>
      </c>
      <c r="J185" s="40"/>
      <c r="K185" s="41" t="s">
        <v>1292</v>
      </c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</row>
    <row r="186" ht="21.0" customHeight="1">
      <c r="A186" s="40">
        <v>185.0</v>
      </c>
      <c r="B186" s="40" t="s">
        <v>41</v>
      </c>
      <c r="C186" s="40" t="s">
        <v>1293</v>
      </c>
      <c r="D186" s="40" t="s">
        <v>1251</v>
      </c>
      <c r="E186" s="40" t="s">
        <v>1294</v>
      </c>
      <c r="F186" s="40" t="s">
        <v>1295</v>
      </c>
      <c r="G186" s="40" t="s">
        <v>1296</v>
      </c>
      <c r="H186" s="40" t="s">
        <v>1297</v>
      </c>
      <c r="I186" s="40" t="s">
        <v>1298</v>
      </c>
      <c r="J186" s="40"/>
      <c r="K186" s="41" t="s">
        <v>1299</v>
      </c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</row>
    <row r="187" ht="21.0" customHeight="1">
      <c r="A187" s="40">
        <v>186.0</v>
      </c>
      <c r="B187" s="40" t="s">
        <v>41</v>
      </c>
      <c r="C187" s="40" t="s">
        <v>1300</v>
      </c>
      <c r="D187" s="40" t="s">
        <v>1251</v>
      </c>
      <c r="E187" s="40" t="s">
        <v>1301</v>
      </c>
      <c r="F187" s="40" t="s">
        <v>1302</v>
      </c>
      <c r="G187" s="40" t="s">
        <v>1303</v>
      </c>
      <c r="H187" s="40" t="s">
        <v>1304</v>
      </c>
      <c r="I187" s="40" t="s">
        <v>1305</v>
      </c>
      <c r="J187" s="40"/>
      <c r="K187" s="41" t="s">
        <v>1306</v>
      </c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</row>
    <row r="188" ht="21.0" customHeight="1">
      <c r="A188" s="40">
        <v>187.0</v>
      </c>
      <c r="B188" s="40" t="s">
        <v>41</v>
      </c>
      <c r="C188" s="40" t="s">
        <v>1307</v>
      </c>
      <c r="D188" s="40" t="s">
        <v>1251</v>
      </c>
      <c r="E188" s="40" t="s">
        <v>1308</v>
      </c>
      <c r="F188" s="40" t="s">
        <v>1309</v>
      </c>
      <c r="G188" s="40" t="s">
        <v>1310</v>
      </c>
      <c r="H188" s="40" t="s">
        <v>1311</v>
      </c>
      <c r="I188" s="40" t="s">
        <v>1312</v>
      </c>
      <c r="J188" s="40"/>
      <c r="K188" s="41" t="s">
        <v>1313</v>
      </c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</row>
    <row r="189" ht="21.0" customHeight="1">
      <c r="A189" s="40">
        <v>188.0</v>
      </c>
      <c r="B189" s="40" t="s">
        <v>41</v>
      </c>
      <c r="C189" s="40" t="s">
        <v>1314</v>
      </c>
      <c r="D189" s="40" t="s">
        <v>1315</v>
      </c>
      <c r="E189" s="40" t="s">
        <v>1316</v>
      </c>
      <c r="F189" s="40" t="s">
        <v>1317</v>
      </c>
      <c r="G189" s="40" t="s">
        <v>1318</v>
      </c>
      <c r="H189" s="40" t="s">
        <v>1319</v>
      </c>
      <c r="I189" s="40" t="s">
        <v>1320</v>
      </c>
      <c r="J189" s="40"/>
      <c r="K189" s="41" t="s">
        <v>1321</v>
      </c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</row>
    <row r="190" ht="21.0" customHeight="1">
      <c r="A190" s="40">
        <v>189.0</v>
      </c>
      <c r="B190" s="40" t="s">
        <v>41</v>
      </c>
      <c r="C190" s="40" t="s">
        <v>1322</v>
      </c>
      <c r="D190" s="40" t="s">
        <v>1315</v>
      </c>
      <c r="E190" s="40" t="s">
        <v>1323</v>
      </c>
      <c r="F190" s="40" t="s">
        <v>1324</v>
      </c>
      <c r="G190" s="40" t="s">
        <v>1325</v>
      </c>
      <c r="H190" s="40" t="s">
        <v>1326</v>
      </c>
      <c r="I190" s="40" t="s">
        <v>1327</v>
      </c>
      <c r="J190" s="40"/>
      <c r="K190" s="41" t="s">
        <v>1328</v>
      </c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</row>
    <row r="191" ht="21.0" customHeight="1">
      <c r="A191" s="40">
        <v>190.0</v>
      </c>
      <c r="B191" s="40" t="s">
        <v>41</v>
      </c>
      <c r="C191" s="40" t="s">
        <v>1329</v>
      </c>
      <c r="D191" s="40" t="s">
        <v>1315</v>
      </c>
      <c r="E191" s="40" t="s">
        <v>1330</v>
      </c>
      <c r="F191" s="40" t="s">
        <v>1331</v>
      </c>
      <c r="G191" s="40" t="s">
        <v>1332</v>
      </c>
      <c r="H191" s="40" t="s">
        <v>1333</v>
      </c>
      <c r="I191" s="40" t="s">
        <v>1334</v>
      </c>
      <c r="J191" s="40"/>
      <c r="K191" s="41" t="s">
        <v>1335</v>
      </c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</row>
    <row r="192" ht="21.0" customHeight="1">
      <c r="A192" s="40">
        <v>191.0</v>
      </c>
      <c r="B192" s="40" t="s">
        <v>41</v>
      </c>
      <c r="C192" s="40" t="s">
        <v>1336</v>
      </c>
      <c r="D192" s="40" t="s">
        <v>1315</v>
      </c>
      <c r="E192" s="40" t="s">
        <v>1337</v>
      </c>
      <c r="F192" s="40" t="s">
        <v>1338</v>
      </c>
      <c r="G192" s="40" t="s">
        <v>1339</v>
      </c>
      <c r="H192" s="40" t="s">
        <v>1340</v>
      </c>
      <c r="I192" s="40" t="s">
        <v>1341</v>
      </c>
      <c r="J192" s="40"/>
      <c r="K192" s="41" t="s">
        <v>1342</v>
      </c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</row>
    <row r="193" ht="21.0" customHeight="1">
      <c r="A193" s="40">
        <v>192.0</v>
      </c>
      <c r="B193" s="40" t="s">
        <v>41</v>
      </c>
      <c r="C193" s="40" t="s">
        <v>1343</v>
      </c>
      <c r="D193" s="40" t="s">
        <v>1315</v>
      </c>
      <c r="E193" s="40" t="s">
        <v>1344</v>
      </c>
      <c r="F193" s="40" t="s">
        <v>1345</v>
      </c>
      <c r="G193" s="40" t="s">
        <v>1346</v>
      </c>
      <c r="H193" s="40" t="s">
        <v>1347</v>
      </c>
      <c r="I193" s="40" t="s">
        <v>1348</v>
      </c>
      <c r="J193" s="40"/>
      <c r="K193" s="41" t="s">
        <v>1349</v>
      </c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</row>
    <row r="194" ht="21.0" customHeight="1">
      <c r="A194" s="40">
        <v>193.0</v>
      </c>
      <c r="B194" s="40" t="s">
        <v>41</v>
      </c>
      <c r="C194" s="40" t="s">
        <v>1350</v>
      </c>
      <c r="D194" s="40" t="s">
        <v>1315</v>
      </c>
      <c r="E194" s="40" t="s">
        <v>1351</v>
      </c>
      <c r="F194" s="40" t="s">
        <v>1352</v>
      </c>
      <c r="G194" s="40" t="s">
        <v>1353</v>
      </c>
      <c r="H194" s="40" t="s">
        <v>1354</v>
      </c>
      <c r="I194" s="40" t="s">
        <v>1355</v>
      </c>
      <c r="J194" s="40"/>
      <c r="K194" s="41" t="s">
        <v>1356</v>
      </c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</row>
    <row r="195" ht="21.0" customHeight="1">
      <c r="A195" s="40">
        <v>194.0</v>
      </c>
      <c r="B195" s="40" t="s">
        <v>41</v>
      </c>
      <c r="C195" s="40" t="s">
        <v>1357</v>
      </c>
      <c r="D195" s="40" t="s">
        <v>1315</v>
      </c>
      <c r="E195" s="40" t="s">
        <v>1358</v>
      </c>
      <c r="F195" s="40" t="s">
        <v>1359</v>
      </c>
      <c r="G195" s="40" t="s">
        <v>1360</v>
      </c>
      <c r="H195" s="40" t="s">
        <v>1361</v>
      </c>
      <c r="I195" s="40" t="s">
        <v>1362</v>
      </c>
      <c r="J195" s="40"/>
      <c r="K195" s="41" t="s">
        <v>1363</v>
      </c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</row>
    <row r="196" ht="21.0" customHeight="1">
      <c r="A196" s="40">
        <v>195.0</v>
      </c>
      <c r="B196" s="40" t="s">
        <v>41</v>
      </c>
      <c r="C196" s="40" t="s">
        <v>1364</v>
      </c>
      <c r="D196" s="40" t="s">
        <v>1315</v>
      </c>
      <c r="E196" s="40" t="s">
        <v>1365</v>
      </c>
      <c r="F196" s="40" t="s">
        <v>1366</v>
      </c>
      <c r="G196" s="40" t="s">
        <v>1367</v>
      </c>
      <c r="H196" s="40" t="s">
        <v>1368</v>
      </c>
      <c r="I196" s="40" t="s">
        <v>1369</v>
      </c>
      <c r="J196" s="40"/>
      <c r="K196" s="41" t="s">
        <v>1370</v>
      </c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</row>
    <row r="197" ht="21.0" customHeight="1">
      <c r="A197" s="40">
        <v>196.0</v>
      </c>
      <c r="B197" s="40" t="s">
        <v>41</v>
      </c>
      <c r="C197" s="40" t="s">
        <v>1371</v>
      </c>
      <c r="D197" s="40" t="s">
        <v>1315</v>
      </c>
      <c r="E197" s="40" t="s">
        <v>1372</v>
      </c>
      <c r="F197" s="40" t="s">
        <v>1373</v>
      </c>
      <c r="G197" s="40" t="s">
        <v>1374</v>
      </c>
      <c r="H197" s="40" t="s">
        <v>1375</v>
      </c>
      <c r="I197" s="40" t="s">
        <v>1376</v>
      </c>
      <c r="J197" s="40"/>
      <c r="K197" s="41" t="s">
        <v>1377</v>
      </c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</row>
    <row r="198" ht="21.0" customHeight="1">
      <c r="A198" s="40">
        <v>197.0</v>
      </c>
      <c r="B198" s="40" t="s">
        <v>41</v>
      </c>
      <c r="C198" s="40" t="s">
        <v>1378</v>
      </c>
      <c r="D198" s="40"/>
      <c r="E198" s="40" t="s">
        <v>1379</v>
      </c>
      <c r="F198" s="40" t="s">
        <v>1380</v>
      </c>
      <c r="G198" s="40" t="s">
        <v>1381</v>
      </c>
      <c r="H198" s="40" t="s">
        <v>1382</v>
      </c>
      <c r="I198" s="40" t="s">
        <v>1383</v>
      </c>
      <c r="J198" s="40" t="s">
        <v>1384</v>
      </c>
      <c r="K198" s="41" t="s">
        <v>1385</v>
      </c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</row>
    <row r="199" ht="21.0" customHeight="1">
      <c r="A199" s="40">
        <v>198.0</v>
      </c>
      <c r="B199" s="40" t="s">
        <v>41</v>
      </c>
      <c r="C199" s="40" t="s">
        <v>1386</v>
      </c>
      <c r="D199" s="40" t="s">
        <v>1387</v>
      </c>
      <c r="E199" s="40" t="s">
        <v>1388</v>
      </c>
      <c r="F199" s="40" t="s">
        <v>1389</v>
      </c>
      <c r="G199" s="40" t="s">
        <v>1390</v>
      </c>
      <c r="H199" s="40" t="s">
        <v>1391</v>
      </c>
      <c r="I199" s="40" t="s">
        <v>1392</v>
      </c>
      <c r="J199" s="40" t="s">
        <v>1393</v>
      </c>
      <c r="K199" s="41" t="s">
        <v>1394</v>
      </c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</row>
    <row r="200" ht="21.0" customHeight="1">
      <c r="A200" s="40">
        <v>199.0</v>
      </c>
      <c r="B200" s="40" t="s">
        <v>41</v>
      </c>
      <c r="C200" s="40" t="s">
        <v>1395</v>
      </c>
      <c r="D200" s="40" t="s">
        <v>1387</v>
      </c>
      <c r="E200" s="40" t="s">
        <v>1396</v>
      </c>
      <c r="F200" s="40" t="s">
        <v>1397</v>
      </c>
      <c r="G200" s="40" t="s">
        <v>1398</v>
      </c>
      <c r="H200" s="40" t="s">
        <v>1399</v>
      </c>
      <c r="I200" s="40" t="s">
        <v>1400</v>
      </c>
      <c r="J200" s="40" t="s">
        <v>1393</v>
      </c>
      <c r="K200" s="41" t="s">
        <v>1401</v>
      </c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</row>
    <row r="201" ht="21.0" customHeight="1">
      <c r="A201" s="40">
        <v>200.0</v>
      </c>
      <c r="B201" s="40" t="s">
        <v>41</v>
      </c>
      <c r="C201" s="40" t="s">
        <v>1402</v>
      </c>
      <c r="D201" s="40" t="s">
        <v>1387</v>
      </c>
      <c r="E201" s="40" t="s">
        <v>1403</v>
      </c>
      <c r="F201" s="40" t="s">
        <v>1404</v>
      </c>
      <c r="G201" s="40" t="s">
        <v>1405</v>
      </c>
      <c r="H201" s="40" t="s">
        <v>1406</v>
      </c>
      <c r="I201" s="40" t="s">
        <v>1407</v>
      </c>
      <c r="J201" s="40" t="s">
        <v>1393</v>
      </c>
      <c r="K201" s="41" t="s">
        <v>1408</v>
      </c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</row>
    <row r="202" ht="21.0" customHeight="1">
      <c r="A202" s="40">
        <v>201.0</v>
      </c>
      <c r="B202" s="40" t="s">
        <v>41</v>
      </c>
      <c r="C202" s="40" t="s">
        <v>1409</v>
      </c>
      <c r="D202" s="40" t="s">
        <v>1387</v>
      </c>
      <c r="E202" s="40" t="s">
        <v>1410</v>
      </c>
      <c r="F202" s="40" t="s">
        <v>1411</v>
      </c>
      <c r="G202" s="40" t="s">
        <v>1412</v>
      </c>
      <c r="H202" s="40" t="s">
        <v>1413</v>
      </c>
      <c r="I202" s="40" t="s">
        <v>1414</v>
      </c>
      <c r="J202" s="40" t="s">
        <v>1393</v>
      </c>
      <c r="K202" s="41" t="s">
        <v>1415</v>
      </c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</row>
    <row r="203" ht="21.0" customHeight="1">
      <c r="A203" s="40">
        <v>202.0</v>
      </c>
      <c r="B203" s="40" t="s">
        <v>41</v>
      </c>
      <c r="C203" s="40" t="s">
        <v>1416</v>
      </c>
      <c r="D203" s="40" t="s">
        <v>1387</v>
      </c>
      <c r="E203" s="40" t="s">
        <v>1417</v>
      </c>
      <c r="F203" s="40" t="s">
        <v>1418</v>
      </c>
      <c r="G203" s="40" t="s">
        <v>1419</v>
      </c>
      <c r="H203" s="40" t="s">
        <v>1420</v>
      </c>
      <c r="I203" s="40" t="s">
        <v>1421</v>
      </c>
      <c r="J203" s="40" t="s">
        <v>1393</v>
      </c>
      <c r="K203" s="41" t="s">
        <v>1422</v>
      </c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</row>
    <row r="204" ht="21.0" customHeight="1">
      <c r="A204" s="40">
        <v>203.0</v>
      </c>
      <c r="B204" s="40" t="s">
        <v>41</v>
      </c>
      <c r="C204" s="40" t="s">
        <v>1423</v>
      </c>
      <c r="D204" s="40" t="s">
        <v>1387</v>
      </c>
      <c r="E204" s="40" t="s">
        <v>1424</v>
      </c>
      <c r="F204" s="40" t="s">
        <v>1425</v>
      </c>
      <c r="G204" s="40" t="s">
        <v>1426</v>
      </c>
      <c r="H204" s="40" t="s">
        <v>1427</v>
      </c>
      <c r="I204" s="40" t="s">
        <v>1428</v>
      </c>
      <c r="J204" s="40" t="s">
        <v>1393</v>
      </c>
      <c r="K204" s="41" t="s">
        <v>1429</v>
      </c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</row>
    <row r="205" ht="21.0" customHeight="1">
      <c r="A205" s="40">
        <v>204.0</v>
      </c>
      <c r="B205" s="40" t="s">
        <v>41</v>
      </c>
      <c r="C205" s="40" t="s">
        <v>1430</v>
      </c>
      <c r="D205" s="40" t="s">
        <v>1387</v>
      </c>
      <c r="E205" s="40" t="s">
        <v>1431</v>
      </c>
      <c r="F205" s="40" t="s">
        <v>1432</v>
      </c>
      <c r="G205" s="40" t="s">
        <v>1433</v>
      </c>
      <c r="H205" s="40" t="s">
        <v>1434</v>
      </c>
      <c r="I205" s="40" t="s">
        <v>1435</v>
      </c>
      <c r="J205" s="40" t="s">
        <v>1393</v>
      </c>
      <c r="K205" s="41" t="s">
        <v>1436</v>
      </c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</row>
    <row r="206" ht="21.0" customHeight="1">
      <c r="A206" s="40">
        <v>205.0</v>
      </c>
      <c r="B206" s="40" t="s">
        <v>41</v>
      </c>
      <c r="C206" s="40" t="s">
        <v>1437</v>
      </c>
      <c r="D206" s="40" t="s">
        <v>1387</v>
      </c>
      <c r="E206" s="40" t="s">
        <v>1438</v>
      </c>
      <c r="F206" s="40" t="s">
        <v>1439</v>
      </c>
      <c r="G206" s="40" t="s">
        <v>1440</v>
      </c>
      <c r="H206" s="40" t="s">
        <v>1441</v>
      </c>
      <c r="I206" s="40" t="s">
        <v>1442</v>
      </c>
      <c r="J206" s="40" t="s">
        <v>1393</v>
      </c>
      <c r="K206" s="41" t="s">
        <v>1443</v>
      </c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</row>
    <row r="207" ht="21.0" customHeight="1">
      <c r="A207" s="40">
        <v>206.0</v>
      </c>
      <c r="B207" s="40" t="s">
        <v>41</v>
      </c>
      <c r="C207" s="40" t="s">
        <v>1444</v>
      </c>
      <c r="D207" s="40" t="s">
        <v>1387</v>
      </c>
      <c r="E207" s="40" t="s">
        <v>1445</v>
      </c>
      <c r="F207" s="40" t="s">
        <v>1446</v>
      </c>
      <c r="G207" s="40" t="s">
        <v>1447</v>
      </c>
      <c r="H207" s="40" t="s">
        <v>1448</v>
      </c>
      <c r="I207" s="40" t="s">
        <v>1449</v>
      </c>
      <c r="J207" s="40" t="s">
        <v>1393</v>
      </c>
      <c r="K207" s="41" t="s">
        <v>1450</v>
      </c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</row>
    <row r="208" ht="21.0" customHeight="1">
      <c r="A208" s="40">
        <v>207.0</v>
      </c>
      <c r="B208" s="40" t="s">
        <v>41</v>
      </c>
      <c r="C208" s="40" t="s">
        <v>1451</v>
      </c>
      <c r="D208" s="40" t="s">
        <v>1387</v>
      </c>
      <c r="E208" s="40" t="s">
        <v>1452</v>
      </c>
      <c r="F208" s="40" t="s">
        <v>1453</v>
      </c>
      <c r="G208" s="40" t="s">
        <v>1454</v>
      </c>
      <c r="H208" s="40" t="s">
        <v>1455</v>
      </c>
      <c r="I208" s="40" t="s">
        <v>1456</v>
      </c>
      <c r="J208" s="40" t="s">
        <v>1393</v>
      </c>
      <c r="K208" s="41" t="s">
        <v>1457</v>
      </c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</row>
    <row r="209" ht="21.0" customHeight="1">
      <c r="A209" s="40">
        <v>208.0</v>
      </c>
      <c r="B209" s="40" t="s">
        <v>41</v>
      </c>
      <c r="C209" s="40" t="s">
        <v>1458</v>
      </c>
      <c r="D209" s="40" t="s">
        <v>1387</v>
      </c>
      <c r="E209" s="40" t="s">
        <v>1459</v>
      </c>
      <c r="F209" s="40" t="s">
        <v>1460</v>
      </c>
      <c r="G209" s="40" t="s">
        <v>1461</v>
      </c>
      <c r="H209" s="40" t="s">
        <v>1462</v>
      </c>
      <c r="I209" s="40" t="s">
        <v>1463</v>
      </c>
      <c r="J209" s="40" t="s">
        <v>1393</v>
      </c>
      <c r="K209" s="41" t="s">
        <v>1464</v>
      </c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</row>
    <row r="210" ht="21.0" customHeight="1">
      <c r="A210" s="40">
        <v>209.0</v>
      </c>
      <c r="B210" s="40" t="s">
        <v>41</v>
      </c>
      <c r="C210" s="40" t="s">
        <v>1465</v>
      </c>
      <c r="D210" s="40" t="s">
        <v>1387</v>
      </c>
      <c r="E210" s="40" t="s">
        <v>1466</v>
      </c>
      <c r="F210" s="40" t="s">
        <v>1467</v>
      </c>
      <c r="G210" s="51" t="s">
        <v>1468</v>
      </c>
      <c r="H210" s="40" t="s">
        <v>1469</v>
      </c>
      <c r="I210" s="40"/>
      <c r="J210" s="40" t="s">
        <v>1470</v>
      </c>
      <c r="K210" s="41"/>
      <c r="L210" s="41"/>
      <c r="M210" s="41"/>
      <c r="N210" s="41"/>
      <c r="O210" s="41"/>
      <c r="P210" s="41"/>
      <c r="Q210" s="41"/>
      <c r="R210" s="42"/>
      <c r="S210" s="42"/>
      <c r="T210" s="42"/>
      <c r="U210" s="42"/>
      <c r="V210" s="42"/>
      <c r="W210" s="42"/>
      <c r="X210" s="42"/>
      <c r="Y210" s="42"/>
    </row>
    <row r="211" ht="21.0" customHeight="1">
      <c r="A211" s="40">
        <v>210.0</v>
      </c>
      <c r="B211" s="40" t="s">
        <v>41</v>
      </c>
      <c r="C211" s="40" t="s">
        <v>1471</v>
      </c>
      <c r="D211" s="40" t="s">
        <v>1387</v>
      </c>
      <c r="E211" s="40" t="s">
        <v>1472</v>
      </c>
      <c r="F211" s="40" t="s">
        <v>1473</v>
      </c>
      <c r="G211" s="40" t="s">
        <v>1474</v>
      </c>
      <c r="H211" s="40" t="s">
        <v>1475</v>
      </c>
      <c r="I211" s="40" t="s">
        <v>1421</v>
      </c>
      <c r="J211" s="40" t="s">
        <v>1393</v>
      </c>
      <c r="K211" s="41" t="s">
        <v>1476</v>
      </c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</row>
    <row r="212" ht="21.0" customHeight="1">
      <c r="A212" s="40">
        <v>211.0</v>
      </c>
      <c r="B212" s="40" t="s">
        <v>41</v>
      </c>
      <c r="C212" s="40" t="s">
        <v>1477</v>
      </c>
      <c r="D212" s="40" t="s">
        <v>1387</v>
      </c>
      <c r="E212" s="40" t="s">
        <v>1478</v>
      </c>
      <c r="F212" s="40" t="s">
        <v>1479</v>
      </c>
      <c r="G212" s="40" t="s">
        <v>1480</v>
      </c>
      <c r="H212" s="40" t="s">
        <v>1481</v>
      </c>
      <c r="I212" s="40" t="s">
        <v>1482</v>
      </c>
      <c r="J212" s="40" t="s">
        <v>1393</v>
      </c>
      <c r="K212" s="41" t="s">
        <v>1483</v>
      </c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</row>
    <row r="213" ht="21.0" customHeight="1">
      <c r="A213" s="40">
        <v>212.0</v>
      </c>
      <c r="B213" s="40" t="s">
        <v>41</v>
      </c>
      <c r="C213" s="40" t="s">
        <v>1484</v>
      </c>
      <c r="D213" s="40" t="s">
        <v>1387</v>
      </c>
      <c r="E213" s="40" t="s">
        <v>1485</v>
      </c>
      <c r="F213" s="40" t="s">
        <v>1486</v>
      </c>
      <c r="G213" s="40" t="s">
        <v>1487</v>
      </c>
      <c r="H213" s="40" t="s">
        <v>1488</v>
      </c>
      <c r="I213" s="40" t="s">
        <v>1489</v>
      </c>
      <c r="J213" s="40" t="s">
        <v>1393</v>
      </c>
      <c r="K213" s="41" t="s">
        <v>1490</v>
      </c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</row>
    <row r="214" ht="21.0" customHeight="1">
      <c r="A214" s="40">
        <v>213.0</v>
      </c>
      <c r="B214" s="40" t="s">
        <v>41</v>
      </c>
      <c r="C214" s="40" t="s">
        <v>1491</v>
      </c>
      <c r="D214" s="40" t="s">
        <v>1387</v>
      </c>
      <c r="E214" s="40" t="s">
        <v>1492</v>
      </c>
      <c r="F214" s="40" t="s">
        <v>1493</v>
      </c>
      <c r="G214" s="40" t="s">
        <v>1494</v>
      </c>
      <c r="H214" s="40" t="s">
        <v>1495</v>
      </c>
      <c r="I214" s="40" t="s">
        <v>1496</v>
      </c>
      <c r="J214" s="40" t="s">
        <v>1393</v>
      </c>
      <c r="K214" s="41" t="s">
        <v>1497</v>
      </c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</row>
    <row r="215" ht="21.0" customHeight="1">
      <c r="A215" s="40">
        <v>214.0</v>
      </c>
      <c r="B215" s="40" t="s">
        <v>41</v>
      </c>
      <c r="C215" s="40" t="s">
        <v>1498</v>
      </c>
      <c r="D215" s="40" t="s">
        <v>1499</v>
      </c>
      <c r="E215" s="40" t="s">
        <v>1500</v>
      </c>
      <c r="F215" s="40" t="s">
        <v>1501</v>
      </c>
      <c r="G215" s="40" t="s">
        <v>1502</v>
      </c>
      <c r="H215" s="40" t="s">
        <v>1503</v>
      </c>
      <c r="I215" s="40" t="s">
        <v>1504</v>
      </c>
      <c r="J215" s="40"/>
      <c r="K215" s="41" t="s">
        <v>1505</v>
      </c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</row>
    <row r="216" ht="21.0" customHeight="1">
      <c r="A216" s="40">
        <v>215.0</v>
      </c>
      <c r="B216" s="40" t="s">
        <v>41</v>
      </c>
      <c r="C216" s="40" t="s">
        <v>1506</v>
      </c>
      <c r="D216" s="40" t="s">
        <v>1499</v>
      </c>
      <c r="E216" s="40" t="s">
        <v>1507</v>
      </c>
      <c r="F216" s="40" t="s">
        <v>1508</v>
      </c>
      <c r="G216" s="40" t="s">
        <v>1509</v>
      </c>
      <c r="H216" s="40" t="s">
        <v>1510</v>
      </c>
      <c r="I216" s="40" t="s">
        <v>1511</v>
      </c>
      <c r="J216" s="40"/>
      <c r="K216" s="41" t="s">
        <v>1512</v>
      </c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</row>
    <row r="217" ht="21.0" customHeight="1">
      <c r="A217" s="40">
        <v>216.0</v>
      </c>
      <c r="B217" s="40" t="s">
        <v>41</v>
      </c>
      <c r="C217" s="40" t="s">
        <v>1513</v>
      </c>
      <c r="D217" s="40"/>
      <c r="E217" s="40" t="s">
        <v>1514</v>
      </c>
      <c r="F217" s="40" t="s">
        <v>1515</v>
      </c>
      <c r="G217" s="40" t="s">
        <v>1516</v>
      </c>
      <c r="H217" s="40" t="s">
        <v>1517</v>
      </c>
      <c r="I217" s="40" t="s">
        <v>1518</v>
      </c>
      <c r="J217" s="40"/>
      <c r="K217" s="41" t="s">
        <v>1519</v>
      </c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</row>
    <row r="218" ht="21.0" customHeight="1">
      <c r="A218" s="40">
        <v>217.0</v>
      </c>
      <c r="B218" s="40" t="s">
        <v>41</v>
      </c>
      <c r="C218" s="40" t="s">
        <v>1520</v>
      </c>
      <c r="D218" s="40"/>
      <c r="E218" s="40" t="s">
        <v>1521</v>
      </c>
      <c r="F218" s="40" t="s">
        <v>1522</v>
      </c>
      <c r="G218" s="44" t="s">
        <v>1523</v>
      </c>
      <c r="H218" s="40" t="s">
        <v>1524</v>
      </c>
      <c r="I218" s="40" t="s">
        <v>1525</v>
      </c>
      <c r="J218" s="40"/>
      <c r="K218" s="41" t="s">
        <v>1526</v>
      </c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</row>
    <row r="219" ht="21.0" customHeight="1">
      <c r="A219" s="40">
        <v>218.0</v>
      </c>
      <c r="B219" s="40" t="s">
        <v>43</v>
      </c>
      <c r="C219" s="40" t="s">
        <v>1527</v>
      </c>
      <c r="D219" s="40"/>
      <c r="E219" s="40" t="s">
        <v>1528</v>
      </c>
      <c r="F219" s="40" t="s">
        <v>1529</v>
      </c>
      <c r="G219" s="44" t="s">
        <v>1530</v>
      </c>
      <c r="H219" s="40" t="s">
        <v>1531</v>
      </c>
      <c r="I219" s="40" t="s">
        <v>1532</v>
      </c>
      <c r="J219" s="40"/>
      <c r="K219" s="41" t="s">
        <v>1533</v>
      </c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</row>
    <row r="220" ht="21.0" customHeight="1">
      <c r="A220" s="40">
        <v>219.0</v>
      </c>
      <c r="B220" s="40" t="s">
        <v>43</v>
      </c>
      <c r="C220" s="40" t="s">
        <v>1534</v>
      </c>
      <c r="D220" s="40"/>
      <c r="E220" s="40" t="s">
        <v>1535</v>
      </c>
      <c r="F220" s="40" t="s">
        <v>1536</v>
      </c>
      <c r="G220" s="40" t="s">
        <v>1537</v>
      </c>
      <c r="H220" s="40" t="s">
        <v>1538</v>
      </c>
      <c r="I220" s="40" t="s">
        <v>1539</v>
      </c>
      <c r="J220" s="40"/>
      <c r="K220" s="41" t="s">
        <v>1540</v>
      </c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</row>
    <row r="221" ht="21.0" customHeight="1">
      <c r="A221" s="40">
        <v>220.0</v>
      </c>
      <c r="B221" s="40" t="s">
        <v>43</v>
      </c>
      <c r="C221" s="40" t="s">
        <v>1541</v>
      </c>
      <c r="D221" s="40" t="s">
        <v>1542</v>
      </c>
      <c r="E221" s="40" t="s">
        <v>1543</v>
      </c>
      <c r="F221" s="40" t="s">
        <v>1544</v>
      </c>
      <c r="G221" s="40" t="s">
        <v>1545</v>
      </c>
      <c r="H221" s="40" t="s">
        <v>1546</v>
      </c>
      <c r="I221" s="40" t="s">
        <v>1547</v>
      </c>
      <c r="J221" s="40"/>
      <c r="K221" s="41" t="s">
        <v>1548</v>
      </c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</row>
    <row r="222" ht="21.0" customHeight="1">
      <c r="A222" s="40">
        <v>221.0</v>
      </c>
      <c r="B222" s="40" t="s">
        <v>43</v>
      </c>
      <c r="C222" s="40" t="s">
        <v>1549</v>
      </c>
      <c r="D222" s="40" t="s">
        <v>1542</v>
      </c>
      <c r="E222" s="40" t="s">
        <v>1543</v>
      </c>
      <c r="F222" s="40" t="s">
        <v>1550</v>
      </c>
      <c r="G222" s="40" t="s">
        <v>1551</v>
      </c>
      <c r="H222" s="40" t="s">
        <v>1552</v>
      </c>
      <c r="I222" s="40" t="s">
        <v>1553</v>
      </c>
      <c r="J222" s="40"/>
      <c r="K222" s="41" t="s">
        <v>1554</v>
      </c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</row>
    <row r="223" ht="21.0" customHeight="1">
      <c r="A223" s="40">
        <v>222.0</v>
      </c>
      <c r="B223" s="40" t="s">
        <v>43</v>
      </c>
      <c r="C223" s="40" t="s">
        <v>1555</v>
      </c>
      <c r="D223" s="40" t="s">
        <v>1542</v>
      </c>
      <c r="E223" s="40" t="s">
        <v>1543</v>
      </c>
      <c r="F223" s="40" t="s">
        <v>1556</v>
      </c>
      <c r="G223" s="40" t="s">
        <v>1557</v>
      </c>
      <c r="H223" s="40" t="s">
        <v>1558</v>
      </c>
      <c r="I223" s="40" t="s">
        <v>1559</v>
      </c>
      <c r="J223" s="40"/>
      <c r="K223" s="41" t="s">
        <v>1560</v>
      </c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</row>
    <row r="224" ht="21.0" customHeight="1">
      <c r="A224" s="40">
        <v>223.0</v>
      </c>
      <c r="B224" s="40" t="s">
        <v>43</v>
      </c>
      <c r="C224" s="40" t="s">
        <v>1561</v>
      </c>
      <c r="D224" s="40"/>
      <c r="E224" s="40" t="s">
        <v>1562</v>
      </c>
      <c r="F224" s="40" t="s">
        <v>1563</v>
      </c>
      <c r="G224" s="40" t="s">
        <v>1564</v>
      </c>
      <c r="H224" s="40" t="s">
        <v>1565</v>
      </c>
      <c r="I224" s="40" t="s">
        <v>1566</v>
      </c>
      <c r="J224" s="40" t="s">
        <v>222</v>
      </c>
      <c r="K224" s="41" t="s">
        <v>1567</v>
      </c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</row>
    <row r="225" ht="21.0" customHeight="1">
      <c r="A225" s="40">
        <v>224.0</v>
      </c>
      <c r="B225" s="40" t="s">
        <v>43</v>
      </c>
      <c r="C225" s="40" t="s">
        <v>1568</v>
      </c>
      <c r="D225" s="40" t="s">
        <v>1569</v>
      </c>
      <c r="E225" s="40" t="s">
        <v>1570</v>
      </c>
      <c r="F225" s="40" t="s">
        <v>1571</v>
      </c>
      <c r="G225" s="40" t="s">
        <v>1572</v>
      </c>
      <c r="H225" s="40" t="s">
        <v>1573</v>
      </c>
      <c r="I225" s="40" t="s">
        <v>1574</v>
      </c>
      <c r="J225" s="40" t="s">
        <v>222</v>
      </c>
      <c r="K225" s="41" t="s">
        <v>1575</v>
      </c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</row>
    <row r="226" ht="21.0" customHeight="1">
      <c r="A226" s="40">
        <v>225.0</v>
      </c>
      <c r="B226" s="40" t="s">
        <v>43</v>
      </c>
      <c r="C226" s="40" t="s">
        <v>1576</v>
      </c>
      <c r="D226" s="40" t="s">
        <v>1569</v>
      </c>
      <c r="E226" s="40" t="s">
        <v>1570</v>
      </c>
      <c r="F226" s="40" t="s">
        <v>1577</v>
      </c>
      <c r="G226" s="40" t="s">
        <v>1578</v>
      </c>
      <c r="H226" s="40" t="s">
        <v>1579</v>
      </c>
      <c r="I226" s="40" t="s">
        <v>1580</v>
      </c>
      <c r="J226" s="40"/>
      <c r="K226" s="41" t="s">
        <v>1581</v>
      </c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</row>
    <row r="227" ht="21.0" customHeight="1">
      <c r="A227" s="40">
        <v>226.0</v>
      </c>
      <c r="B227" s="40" t="s">
        <v>43</v>
      </c>
      <c r="C227" s="40" t="s">
        <v>1582</v>
      </c>
      <c r="D227" s="40" t="s">
        <v>1569</v>
      </c>
      <c r="E227" s="40" t="s">
        <v>1570</v>
      </c>
      <c r="F227" s="40" t="s">
        <v>1583</v>
      </c>
      <c r="G227" s="40" t="s">
        <v>1584</v>
      </c>
      <c r="H227" s="40" t="s">
        <v>1585</v>
      </c>
      <c r="I227" s="40" t="s">
        <v>1586</v>
      </c>
      <c r="J227" s="40"/>
      <c r="K227" s="41" t="s">
        <v>1587</v>
      </c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</row>
    <row r="228" ht="21.0" customHeight="1">
      <c r="A228" s="40">
        <v>227.0</v>
      </c>
      <c r="B228" s="40" t="s">
        <v>43</v>
      </c>
      <c r="C228" s="40" t="s">
        <v>1588</v>
      </c>
      <c r="D228" s="40" t="s">
        <v>1588</v>
      </c>
      <c r="E228" s="40" t="s">
        <v>1589</v>
      </c>
      <c r="F228" s="40" t="s">
        <v>1590</v>
      </c>
      <c r="G228" s="40" t="s">
        <v>1591</v>
      </c>
      <c r="H228" s="40" t="s">
        <v>1592</v>
      </c>
      <c r="I228" s="40" t="s">
        <v>1593</v>
      </c>
      <c r="J228" s="40" t="s">
        <v>156</v>
      </c>
      <c r="K228" s="41" t="s">
        <v>1594</v>
      </c>
      <c r="L228" s="41"/>
      <c r="M228" s="41"/>
      <c r="N228" s="41"/>
      <c r="O228" s="41"/>
      <c r="P228" s="41"/>
      <c r="Q228" s="41"/>
      <c r="R228" s="42"/>
      <c r="S228" s="42"/>
      <c r="T228" s="42"/>
      <c r="U228" s="42"/>
      <c r="V228" s="42"/>
      <c r="W228" s="42"/>
      <c r="X228" s="42"/>
      <c r="Y228" s="42"/>
    </row>
    <row r="229" ht="21.0" customHeight="1">
      <c r="A229" s="40">
        <v>228.0</v>
      </c>
      <c r="B229" s="40" t="s">
        <v>43</v>
      </c>
      <c r="C229" s="40" t="s">
        <v>1595</v>
      </c>
      <c r="D229" s="40" t="s">
        <v>1588</v>
      </c>
      <c r="E229" s="40" t="s">
        <v>1596</v>
      </c>
      <c r="F229" s="40" t="s">
        <v>1597</v>
      </c>
      <c r="G229" s="40" t="s">
        <v>1598</v>
      </c>
      <c r="H229" s="40" t="s">
        <v>1599</v>
      </c>
      <c r="I229" s="40" t="s">
        <v>1600</v>
      </c>
      <c r="J229" s="40"/>
      <c r="K229" s="41" t="s">
        <v>1601</v>
      </c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</row>
    <row r="230" ht="21.0" customHeight="1">
      <c r="A230" s="40">
        <v>229.0</v>
      </c>
      <c r="B230" s="40" t="s">
        <v>43</v>
      </c>
      <c r="C230" s="40" t="s">
        <v>1602</v>
      </c>
      <c r="D230" s="40"/>
      <c r="E230" s="40" t="s">
        <v>1603</v>
      </c>
      <c r="F230" s="40" t="s">
        <v>1604</v>
      </c>
      <c r="G230" s="40" t="s">
        <v>1605</v>
      </c>
      <c r="H230" s="40" t="s">
        <v>1606</v>
      </c>
      <c r="I230" s="40" t="s">
        <v>1607</v>
      </c>
      <c r="J230" s="40"/>
      <c r="K230" s="41" t="s">
        <v>1608</v>
      </c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</row>
    <row r="231" ht="21.0" customHeight="1">
      <c r="A231" s="40">
        <v>230.0</v>
      </c>
      <c r="B231" s="40" t="s">
        <v>43</v>
      </c>
      <c r="C231" s="40" t="s">
        <v>1609</v>
      </c>
      <c r="D231" s="40"/>
      <c r="E231" s="40" t="s">
        <v>1610</v>
      </c>
      <c r="F231" s="40" t="s">
        <v>1611</v>
      </c>
      <c r="G231" s="40" t="s">
        <v>1612</v>
      </c>
      <c r="H231" s="40" t="s">
        <v>1613</v>
      </c>
      <c r="I231" s="40" t="s">
        <v>1614</v>
      </c>
      <c r="J231" s="40"/>
      <c r="K231" s="41" t="s">
        <v>1615</v>
      </c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</row>
    <row r="232" ht="21.0" customHeight="1">
      <c r="A232" s="40">
        <v>231.0</v>
      </c>
      <c r="B232" s="40" t="s">
        <v>43</v>
      </c>
      <c r="C232" s="40" t="s">
        <v>1616</v>
      </c>
      <c r="D232" s="40" t="s">
        <v>1617</v>
      </c>
      <c r="E232" s="40" t="s">
        <v>1618</v>
      </c>
      <c r="F232" s="40" t="s">
        <v>1619</v>
      </c>
      <c r="G232" s="40" t="s">
        <v>1620</v>
      </c>
      <c r="H232" s="40" t="s">
        <v>1621</v>
      </c>
      <c r="I232" s="40" t="s">
        <v>1622</v>
      </c>
      <c r="J232" s="40"/>
      <c r="K232" s="41" t="s">
        <v>1623</v>
      </c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</row>
    <row r="233" ht="21.0" customHeight="1">
      <c r="A233" s="40">
        <v>232.0</v>
      </c>
      <c r="B233" s="40" t="s">
        <v>43</v>
      </c>
      <c r="C233" s="40" t="s">
        <v>1624</v>
      </c>
      <c r="D233" s="40" t="s">
        <v>1617</v>
      </c>
      <c r="E233" s="40" t="s">
        <v>1625</v>
      </c>
      <c r="F233" s="40" t="s">
        <v>1626</v>
      </c>
      <c r="G233" s="40" t="s">
        <v>1627</v>
      </c>
      <c r="H233" s="40" t="s">
        <v>1628</v>
      </c>
      <c r="I233" s="40" t="s">
        <v>1629</v>
      </c>
      <c r="J233" s="40"/>
      <c r="K233" s="41" t="s">
        <v>1630</v>
      </c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</row>
    <row r="234" ht="21.0" customHeight="1">
      <c r="A234" s="40">
        <v>233.0</v>
      </c>
      <c r="B234" s="40" t="s">
        <v>43</v>
      </c>
      <c r="C234" s="40" t="s">
        <v>1631</v>
      </c>
      <c r="D234" s="40" t="s">
        <v>1617</v>
      </c>
      <c r="E234" s="40" t="s">
        <v>1625</v>
      </c>
      <c r="F234" s="40" t="s">
        <v>1632</v>
      </c>
      <c r="G234" s="40" t="s">
        <v>1633</v>
      </c>
      <c r="H234" s="40" t="s">
        <v>1634</v>
      </c>
      <c r="I234" s="40" t="s">
        <v>1635</v>
      </c>
      <c r="J234" s="40"/>
      <c r="K234" s="41" t="s">
        <v>1636</v>
      </c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</row>
    <row r="235" ht="21.0" customHeight="1">
      <c r="A235" s="40">
        <v>234.0</v>
      </c>
      <c r="B235" s="40" t="s">
        <v>43</v>
      </c>
      <c r="C235" s="40" t="s">
        <v>1637</v>
      </c>
      <c r="D235" s="40" t="s">
        <v>1638</v>
      </c>
      <c r="E235" s="40" t="s">
        <v>1639</v>
      </c>
      <c r="F235" s="40" t="s">
        <v>1640</v>
      </c>
      <c r="G235" s="40" t="s">
        <v>1641</v>
      </c>
      <c r="H235" s="40" t="s">
        <v>1642</v>
      </c>
      <c r="I235" s="40" t="s">
        <v>1643</v>
      </c>
      <c r="J235" s="40"/>
      <c r="K235" s="41" t="s">
        <v>1644</v>
      </c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</row>
    <row r="236" ht="21.0" customHeight="1">
      <c r="A236" s="40">
        <v>235.0</v>
      </c>
      <c r="B236" s="40" t="s">
        <v>43</v>
      </c>
      <c r="C236" s="40" t="s">
        <v>1645</v>
      </c>
      <c r="D236" s="40" t="s">
        <v>1638</v>
      </c>
      <c r="E236" s="40" t="s">
        <v>1639</v>
      </c>
      <c r="F236" s="40" t="s">
        <v>1646</v>
      </c>
      <c r="G236" s="40" t="s">
        <v>1647</v>
      </c>
      <c r="H236" s="40" t="s">
        <v>1648</v>
      </c>
      <c r="I236" s="40" t="s">
        <v>1649</v>
      </c>
      <c r="J236" s="40"/>
      <c r="K236" s="41" t="s">
        <v>1650</v>
      </c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</row>
    <row r="237" ht="21.0" customHeight="1">
      <c r="A237" s="40">
        <v>236.0</v>
      </c>
      <c r="B237" s="40" t="s">
        <v>43</v>
      </c>
      <c r="C237" s="40" t="s">
        <v>1651</v>
      </c>
      <c r="D237" s="40" t="s">
        <v>1638</v>
      </c>
      <c r="E237" s="40" t="s">
        <v>1639</v>
      </c>
      <c r="F237" s="40" t="s">
        <v>1652</v>
      </c>
      <c r="G237" s="40" t="s">
        <v>1653</v>
      </c>
      <c r="H237" s="40" t="s">
        <v>1654</v>
      </c>
      <c r="I237" s="40" t="s">
        <v>1655</v>
      </c>
      <c r="J237" s="40"/>
      <c r="K237" s="41" t="s">
        <v>1656</v>
      </c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</row>
    <row r="238" ht="21.0" customHeight="1">
      <c r="A238" s="40">
        <v>237.0</v>
      </c>
      <c r="B238" s="40" t="s">
        <v>43</v>
      </c>
      <c r="C238" s="40" t="s">
        <v>1657</v>
      </c>
      <c r="D238" s="40" t="s">
        <v>1638</v>
      </c>
      <c r="E238" s="40" t="s">
        <v>1639</v>
      </c>
      <c r="F238" s="40" t="s">
        <v>1658</v>
      </c>
      <c r="G238" s="40" t="s">
        <v>1659</v>
      </c>
      <c r="H238" s="40" t="s">
        <v>1660</v>
      </c>
      <c r="I238" s="40" t="s">
        <v>1661</v>
      </c>
      <c r="J238" s="40"/>
      <c r="K238" s="41" t="s">
        <v>1662</v>
      </c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</row>
    <row r="239" ht="21.0" customHeight="1">
      <c r="A239" s="40">
        <v>238.0</v>
      </c>
      <c r="B239" s="40" t="s">
        <v>43</v>
      </c>
      <c r="C239" s="40" t="s">
        <v>1663</v>
      </c>
      <c r="D239" s="40"/>
      <c r="E239" s="40" t="s">
        <v>1664</v>
      </c>
      <c r="F239" s="40" t="s">
        <v>1665</v>
      </c>
      <c r="G239" s="40" t="s">
        <v>1666</v>
      </c>
      <c r="H239" s="40" t="s">
        <v>1667</v>
      </c>
      <c r="I239" s="40" t="s">
        <v>1668</v>
      </c>
      <c r="J239" s="40"/>
      <c r="K239" s="41" t="s">
        <v>1669</v>
      </c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</row>
    <row r="240" ht="21.0" customHeight="1">
      <c r="A240" s="40">
        <v>239.0</v>
      </c>
      <c r="B240" s="40" t="s">
        <v>43</v>
      </c>
      <c r="C240" s="40" t="s">
        <v>1670</v>
      </c>
      <c r="D240" s="40"/>
      <c r="E240" s="40" t="s">
        <v>1671</v>
      </c>
      <c r="F240" s="40" t="s">
        <v>1672</v>
      </c>
      <c r="G240" s="40" t="s">
        <v>1673</v>
      </c>
      <c r="H240" s="40" t="s">
        <v>1674</v>
      </c>
      <c r="I240" s="40" t="s">
        <v>1675</v>
      </c>
      <c r="J240" s="40"/>
      <c r="K240" s="41" t="s">
        <v>1676</v>
      </c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</row>
    <row r="241" ht="21.0" customHeight="1">
      <c r="A241" s="40">
        <v>240.0</v>
      </c>
      <c r="B241" s="40" t="s">
        <v>43</v>
      </c>
      <c r="C241" s="40" t="s">
        <v>1677</v>
      </c>
      <c r="D241" s="40" t="s">
        <v>1678</v>
      </c>
      <c r="E241" s="40" t="s">
        <v>1679</v>
      </c>
      <c r="F241" s="40" t="s">
        <v>1680</v>
      </c>
      <c r="G241" s="40" t="s">
        <v>1681</v>
      </c>
      <c r="H241" s="40" t="s">
        <v>1682</v>
      </c>
      <c r="I241" s="40" t="s">
        <v>1683</v>
      </c>
      <c r="J241" s="40"/>
      <c r="K241" s="41" t="s">
        <v>1684</v>
      </c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</row>
    <row r="242" ht="21.0" customHeight="1">
      <c r="A242" s="40">
        <v>241.0</v>
      </c>
      <c r="B242" s="40" t="s">
        <v>43</v>
      </c>
      <c r="C242" s="40" t="s">
        <v>1685</v>
      </c>
      <c r="D242" s="40" t="s">
        <v>1678</v>
      </c>
      <c r="E242" s="40" t="s">
        <v>1679</v>
      </c>
      <c r="F242" s="40" t="s">
        <v>1686</v>
      </c>
      <c r="G242" s="40" t="s">
        <v>1687</v>
      </c>
      <c r="H242" s="40" t="s">
        <v>1688</v>
      </c>
      <c r="I242" s="40" t="s">
        <v>1689</v>
      </c>
      <c r="J242" s="40"/>
      <c r="K242" s="41" t="s">
        <v>1690</v>
      </c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</row>
    <row r="243" ht="21.0" customHeight="1">
      <c r="A243" s="40">
        <v>242.0</v>
      </c>
      <c r="B243" s="40" t="s">
        <v>43</v>
      </c>
      <c r="C243" s="40" t="s">
        <v>1691</v>
      </c>
      <c r="D243" s="40" t="s">
        <v>1678</v>
      </c>
      <c r="E243" s="40" t="s">
        <v>1679</v>
      </c>
      <c r="F243" s="40" t="s">
        <v>1692</v>
      </c>
      <c r="G243" s="40" t="s">
        <v>1693</v>
      </c>
      <c r="H243" s="40" t="s">
        <v>1694</v>
      </c>
      <c r="I243" s="40" t="s">
        <v>1695</v>
      </c>
      <c r="J243" s="40"/>
      <c r="K243" s="41" t="s">
        <v>1696</v>
      </c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</row>
    <row r="244" ht="21.0" customHeight="1">
      <c r="A244" s="40">
        <v>243.0</v>
      </c>
      <c r="B244" s="40" t="s">
        <v>43</v>
      </c>
      <c r="C244" s="40" t="s">
        <v>1697</v>
      </c>
      <c r="D244" s="40"/>
      <c r="E244" s="40" t="s">
        <v>1698</v>
      </c>
      <c r="F244" s="40" t="s">
        <v>1699</v>
      </c>
      <c r="G244" s="40" t="s">
        <v>1700</v>
      </c>
      <c r="H244" s="40" t="s">
        <v>1701</v>
      </c>
      <c r="I244" s="40" t="s">
        <v>1702</v>
      </c>
      <c r="J244" s="40"/>
      <c r="K244" s="41" t="s">
        <v>1703</v>
      </c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</row>
    <row r="245" ht="21.0" customHeight="1">
      <c r="A245" s="40">
        <v>244.0</v>
      </c>
      <c r="B245" s="40" t="s">
        <v>43</v>
      </c>
      <c r="C245" s="40" t="s">
        <v>1704</v>
      </c>
      <c r="D245" s="40" t="s">
        <v>1705</v>
      </c>
      <c r="E245" s="40" t="s">
        <v>1706</v>
      </c>
      <c r="F245" s="40" t="s">
        <v>1707</v>
      </c>
      <c r="G245" s="40" t="s">
        <v>1708</v>
      </c>
      <c r="H245" s="40" t="s">
        <v>1709</v>
      </c>
      <c r="I245" s="40" t="s">
        <v>1710</v>
      </c>
      <c r="J245" s="40"/>
      <c r="K245" s="41" t="s">
        <v>1711</v>
      </c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</row>
    <row r="246" ht="21.0" customHeight="1">
      <c r="A246" s="40">
        <v>245.0</v>
      </c>
      <c r="B246" s="40" t="s">
        <v>43</v>
      </c>
      <c r="C246" s="40" t="s">
        <v>1712</v>
      </c>
      <c r="D246" s="40" t="s">
        <v>1705</v>
      </c>
      <c r="E246" s="40" t="s">
        <v>1713</v>
      </c>
      <c r="F246" s="40" t="s">
        <v>1714</v>
      </c>
      <c r="G246" s="40" t="s">
        <v>1715</v>
      </c>
      <c r="H246" s="40" t="s">
        <v>1716</v>
      </c>
      <c r="I246" s="40" t="s">
        <v>1717</v>
      </c>
      <c r="J246" s="40"/>
      <c r="K246" s="41" t="s">
        <v>1718</v>
      </c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</row>
    <row r="247" ht="21.0" customHeight="1">
      <c r="A247" s="40">
        <v>246.0</v>
      </c>
      <c r="B247" s="40" t="s">
        <v>43</v>
      </c>
      <c r="C247" s="40" t="s">
        <v>1719</v>
      </c>
      <c r="D247" s="40" t="s">
        <v>1720</v>
      </c>
      <c r="E247" s="40" t="s">
        <v>1721</v>
      </c>
      <c r="F247" s="40" t="s">
        <v>1722</v>
      </c>
      <c r="G247" s="40" t="s">
        <v>1723</v>
      </c>
      <c r="H247" s="40" t="s">
        <v>1724</v>
      </c>
      <c r="I247" s="40" t="s">
        <v>1725</v>
      </c>
      <c r="J247" s="40"/>
      <c r="K247" s="41" t="s">
        <v>1726</v>
      </c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</row>
    <row r="248" ht="21.0" customHeight="1">
      <c r="A248" s="40">
        <v>247.0</v>
      </c>
      <c r="B248" s="40" t="s">
        <v>43</v>
      </c>
      <c r="C248" s="40" t="s">
        <v>1727</v>
      </c>
      <c r="D248" s="40" t="s">
        <v>1720</v>
      </c>
      <c r="E248" s="40" t="s">
        <v>1728</v>
      </c>
      <c r="F248" s="40" t="s">
        <v>1729</v>
      </c>
      <c r="G248" s="40" t="s">
        <v>1730</v>
      </c>
      <c r="H248" s="40" t="s">
        <v>1731</v>
      </c>
      <c r="I248" s="40" t="s">
        <v>1732</v>
      </c>
      <c r="J248" s="40"/>
      <c r="K248" s="41" t="s">
        <v>1733</v>
      </c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</row>
    <row r="249" ht="21.0" customHeight="1">
      <c r="A249" s="40">
        <v>248.0</v>
      </c>
      <c r="B249" s="40" t="s">
        <v>43</v>
      </c>
      <c r="C249" s="40" t="s">
        <v>1734</v>
      </c>
      <c r="D249" s="40" t="s">
        <v>1735</v>
      </c>
      <c r="E249" s="40" t="s">
        <v>1736</v>
      </c>
      <c r="F249" s="40" t="s">
        <v>1737</v>
      </c>
      <c r="G249" s="40" t="s">
        <v>1738</v>
      </c>
      <c r="H249" s="40" t="s">
        <v>1739</v>
      </c>
      <c r="I249" s="40" t="s">
        <v>1740</v>
      </c>
      <c r="J249" s="40"/>
      <c r="K249" s="41" t="s">
        <v>1741</v>
      </c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</row>
    <row r="250" ht="21.0" customHeight="1">
      <c r="A250" s="40">
        <v>249.0</v>
      </c>
      <c r="B250" s="40" t="s">
        <v>43</v>
      </c>
      <c r="C250" s="40" t="s">
        <v>1742</v>
      </c>
      <c r="D250" s="40" t="s">
        <v>1735</v>
      </c>
      <c r="E250" s="40" t="s">
        <v>1736</v>
      </c>
      <c r="F250" s="40" t="s">
        <v>1743</v>
      </c>
      <c r="G250" s="40" t="s">
        <v>1744</v>
      </c>
      <c r="H250" s="40" t="s">
        <v>1745</v>
      </c>
      <c r="I250" s="40" t="s">
        <v>1746</v>
      </c>
      <c r="J250" s="40"/>
      <c r="K250" s="41" t="s">
        <v>1747</v>
      </c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</row>
    <row r="251" ht="21.0" customHeight="1">
      <c r="A251" s="40">
        <v>250.0</v>
      </c>
      <c r="B251" s="40" t="s">
        <v>43</v>
      </c>
      <c r="C251" s="40" t="s">
        <v>1748</v>
      </c>
      <c r="D251" s="40" t="s">
        <v>1735</v>
      </c>
      <c r="E251" s="40" t="s">
        <v>1749</v>
      </c>
      <c r="F251" s="40" t="s">
        <v>1750</v>
      </c>
      <c r="G251" s="40" t="s">
        <v>1751</v>
      </c>
      <c r="H251" s="40" t="s">
        <v>1752</v>
      </c>
      <c r="I251" s="40" t="s">
        <v>1753</v>
      </c>
      <c r="J251" s="40"/>
      <c r="K251" s="41" t="s">
        <v>1754</v>
      </c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</row>
    <row r="252" ht="21.0" customHeight="1">
      <c r="A252" s="40">
        <v>251.0</v>
      </c>
      <c r="B252" s="40" t="s">
        <v>43</v>
      </c>
      <c r="C252" s="40" t="s">
        <v>1755</v>
      </c>
      <c r="D252" s="40" t="s">
        <v>1756</v>
      </c>
      <c r="E252" s="40" t="s">
        <v>1757</v>
      </c>
      <c r="F252" s="40" t="s">
        <v>1758</v>
      </c>
      <c r="G252" s="40" t="s">
        <v>1759</v>
      </c>
      <c r="H252" s="40" t="s">
        <v>1760</v>
      </c>
      <c r="I252" s="40" t="s">
        <v>1761</v>
      </c>
      <c r="J252" s="40"/>
      <c r="K252" s="41" t="s">
        <v>1762</v>
      </c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</row>
    <row r="253" ht="21.0" customHeight="1">
      <c r="A253" s="40">
        <v>252.0</v>
      </c>
      <c r="B253" s="40" t="s">
        <v>43</v>
      </c>
      <c r="C253" s="40" t="s">
        <v>1763</v>
      </c>
      <c r="D253" s="40" t="s">
        <v>1756</v>
      </c>
      <c r="E253" s="40" t="s">
        <v>1757</v>
      </c>
      <c r="F253" s="40" t="s">
        <v>1764</v>
      </c>
      <c r="G253" s="40" t="s">
        <v>1765</v>
      </c>
      <c r="H253" s="40" t="s">
        <v>1766</v>
      </c>
      <c r="I253" s="40" t="s">
        <v>1767</v>
      </c>
      <c r="J253" s="40"/>
      <c r="K253" s="41" t="s">
        <v>1768</v>
      </c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</row>
    <row r="254" ht="21.0" customHeight="1">
      <c r="A254" s="40">
        <v>253.0</v>
      </c>
      <c r="B254" s="40" t="s">
        <v>43</v>
      </c>
      <c r="C254" s="40" t="s">
        <v>1769</v>
      </c>
      <c r="D254" s="40" t="s">
        <v>1756</v>
      </c>
      <c r="E254" s="40" t="s">
        <v>1770</v>
      </c>
      <c r="F254" s="40" t="s">
        <v>1771</v>
      </c>
      <c r="G254" s="40" t="s">
        <v>1772</v>
      </c>
      <c r="H254" s="40" t="s">
        <v>1773</v>
      </c>
      <c r="I254" s="40" t="s">
        <v>1774</v>
      </c>
      <c r="J254" s="40"/>
      <c r="K254" s="41" t="s">
        <v>1775</v>
      </c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</row>
    <row r="255" ht="21.0" customHeight="1">
      <c r="A255" s="40">
        <v>254.0</v>
      </c>
      <c r="B255" s="40" t="s">
        <v>43</v>
      </c>
      <c r="C255" s="40" t="s">
        <v>1776</v>
      </c>
      <c r="D255" s="40" t="s">
        <v>1756</v>
      </c>
      <c r="E255" s="40" t="s">
        <v>1770</v>
      </c>
      <c r="F255" s="40" t="s">
        <v>1777</v>
      </c>
      <c r="G255" s="40" t="s">
        <v>1778</v>
      </c>
      <c r="H255" s="40" t="s">
        <v>1779</v>
      </c>
      <c r="I255" s="40" t="s">
        <v>1780</v>
      </c>
      <c r="J255" s="40"/>
      <c r="K255" s="41" t="s">
        <v>1781</v>
      </c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</row>
    <row r="256" ht="21.0" customHeight="1">
      <c r="A256" s="40">
        <v>255.0</v>
      </c>
      <c r="B256" s="40" t="s">
        <v>43</v>
      </c>
      <c r="C256" s="40" t="s">
        <v>1782</v>
      </c>
      <c r="D256" s="40"/>
      <c r="E256" s="40" t="s">
        <v>1783</v>
      </c>
      <c r="F256" s="40" t="s">
        <v>1784</v>
      </c>
      <c r="G256" s="40" t="s">
        <v>1785</v>
      </c>
      <c r="H256" s="40" t="s">
        <v>1786</v>
      </c>
      <c r="I256" s="40" t="s">
        <v>1787</v>
      </c>
      <c r="J256" s="40"/>
      <c r="K256" s="41" t="s">
        <v>1788</v>
      </c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</row>
    <row r="257" ht="21.0" customHeight="1">
      <c r="A257" s="40">
        <v>256.0</v>
      </c>
      <c r="B257" s="40" t="s">
        <v>43</v>
      </c>
      <c r="C257" s="40" t="s">
        <v>1789</v>
      </c>
      <c r="D257" s="40"/>
      <c r="E257" s="40" t="s">
        <v>1790</v>
      </c>
      <c r="F257" s="40" t="s">
        <v>1791</v>
      </c>
      <c r="G257" s="40" t="s">
        <v>1792</v>
      </c>
      <c r="H257" s="40" t="s">
        <v>1793</v>
      </c>
      <c r="I257" s="40" t="s">
        <v>1794</v>
      </c>
      <c r="J257" s="40"/>
      <c r="K257" s="41" t="s">
        <v>1795</v>
      </c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</row>
    <row r="258" ht="21.0" customHeight="1">
      <c r="A258" s="40">
        <v>257.0</v>
      </c>
      <c r="B258" s="40" t="s">
        <v>43</v>
      </c>
      <c r="C258" s="40" t="s">
        <v>1796</v>
      </c>
      <c r="D258" s="40"/>
      <c r="E258" s="40" t="s">
        <v>1797</v>
      </c>
      <c r="F258" s="40" t="s">
        <v>1798</v>
      </c>
      <c r="G258" s="40" t="s">
        <v>1799</v>
      </c>
      <c r="H258" s="40" t="s">
        <v>1800</v>
      </c>
      <c r="I258" s="40" t="s">
        <v>1801</v>
      </c>
      <c r="J258" s="40" t="s">
        <v>1802</v>
      </c>
      <c r="K258" s="41" t="s">
        <v>1803</v>
      </c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</row>
    <row r="259" ht="21.0" customHeight="1">
      <c r="A259" s="40">
        <v>258.0</v>
      </c>
      <c r="B259" s="40" t="s">
        <v>43</v>
      </c>
      <c r="C259" s="40" t="s">
        <v>1804</v>
      </c>
      <c r="D259" s="40"/>
      <c r="E259" s="40" t="s">
        <v>1805</v>
      </c>
      <c r="F259" s="40" t="s">
        <v>1806</v>
      </c>
      <c r="G259" s="40" t="s">
        <v>1807</v>
      </c>
      <c r="H259" s="40" t="s">
        <v>1808</v>
      </c>
      <c r="I259" s="40" t="s">
        <v>1809</v>
      </c>
      <c r="J259" s="40" t="s">
        <v>1802</v>
      </c>
      <c r="K259" s="41" t="s">
        <v>1810</v>
      </c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</row>
    <row r="260" ht="21.0" customHeight="1">
      <c r="A260" s="40">
        <v>259.0</v>
      </c>
      <c r="B260" s="40" t="s">
        <v>43</v>
      </c>
      <c r="C260" s="40" t="s">
        <v>1811</v>
      </c>
      <c r="D260" s="40" t="s">
        <v>1812</v>
      </c>
      <c r="E260" s="40" t="s">
        <v>1813</v>
      </c>
      <c r="F260" s="40" t="s">
        <v>1814</v>
      </c>
      <c r="G260" s="40" t="s">
        <v>1815</v>
      </c>
      <c r="H260" s="40" t="s">
        <v>1816</v>
      </c>
      <c r="I260" s="40" t="s">
        <v>1817</v>
      </c>
      <c r="J260" s="40" t="s">
        <v>328</v>
      </c>
      <c r="K260" s="41" t="s">
        <v>1818</v>
      </c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</row>
    <row r="261" ht="21.0" customHeight="1">
      <c r="A261" s="40">
        <v>260.0</v>
      </c>
      <c r="B261" s="40" t="s">
        <v>43</v>
      </c>
      <c r="C261" s="40" t="s">
        <v>1819</v>
      </c>
      <c r="D261" s="40" t="s">
        <v>1812</v>
      </c>
      <c r="E261" s="40" t="s">
        <v>1820</v>
      </c>
      <c r="F261" s="40" t="s">
        <v>1821</v>
      </c>
      <c r="G261" s="40" t="s">
        <v>1822</v>
      </c>
      <c r="H261" s="40" t="s">
        <v>1823</v>
      </c>
      <c r="I261" s="40" t="s">
        <v>1824</v>
      </c>
      <c r="J261" s="40"/>
      <c r="K261" s="41" t="s">
        <v>1825</v>
      </c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</row>
    <row r="262" ht="21.0" customHeight="1">
      <c r="A262" s="40">
        <v>261.0</v>
      </c>
      <c r="B262" s="40" t="s">
        <v>43</v>
      </c>
      <c r="C262" s="40" t="s">
        <v>1826</v>
      </c>
      <c r="D262" s="40" t="s">
        <v>1812</v>
      </c>
      <c r="E262" s="40" t="s">
        <v>1827</v>
      </c>
      <c r="F262" s="40" t="s">
        <v>1828</v>
      </c>
      <c r="G262" s="40" t="s">
        <v>1829</v>
      </c>
      <c r="H262" s="40" t="s">
        <v>1830</v>
      </c>
      <c r="I262" s="40" t="s">
        <v>1831</v>
      </c>
      <c r="J262" s="40"/>
      <c r="K262" s="41" t="s">
        <v>1832</v>
      </c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</row>
    <row r="263" ht="21.0" customHeight="1">
      <c r="A263" s="40">
        <v>262.0</v>
      </c>
      <c r="B263" s="40" t="s">
        <v>43</v>
      </c>
      <c r="C263" s="40" t="s">
        <v>1833</v>
      </c>
      <c r="D263" s="40"/>
      <c r="E263" s="40" t="s">
        <v>1834</v>
      </c>
      <c r="F263" s="40" t="s">
        <v>1835</v>
      </c>
      <c r="G263" s="40" t="s">
        <v>1836</v>
      </c>
      <c r="H263" s="40" t="s">
        <v>1837</v>
      </c>
      <c r="I263" s="40" t="s">
        <v>1838</v>
      </c>
      <c r="J263" s="40"/>
      <c r="K263" s="41" t="s">
        <v>1839</v>
      </c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</row>
    <row r="264" ht="21.0" customHeight="1">
      <c r="A264" s="40">
        <v>263.0</v>
      </c>
      <c r="B264" s="40" t="s">
        <v>43</v>
      </c>
      <c r="C264" s="40" t="s">
        <v>1840</v>
      </c>
      <c r="D264" s="40"/>
      <c r="E264" s="40" t="s">
        <v>1841</v>
      </c>
      <c r="F264" s="40" t="s">
        <v>1842</v>
      </c>
      <c r="G264" s="40" t="s">
        <v>1843</v>
      </c>
      <c r="H264" s="40" t="s">
        <v>1844</v>
      </c>
      <c r="I264" s="40" t="s">
        <v>1845</v>
      </c>
      <c r="J264" s="40"/>
      <c r="K264" s="41" t="s">
        <v>1846</v>
      </c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</row>
    <row r="265" ht="21.0" customHeight="1">
      <c r="A265" s="40">
        <v>264.0</v>
      </c>
      <c r="B265" s="40" t="s">
        <v>43</v>
      </c>
      <c r="C265" s="40" t="s">
        <v>1847</v>
      </c>
      <c r="D265" s="40"/>
      <c r="E265" s="40" t="s">
        <v>1848</v>
      </c>
      <c r="F265" s="40" t="s">
        <v>1849</v>
      </c>
      <c r="G265" s="40" t="s">
        <v>1850</v>
      </c>
      <c r="H265" s="40" t="s">
        <v>1851</v>
      </c>
      <c r="I265" s="40" t="s">
        <v>1852</v>
      </c>
      <c r="J265" s="40"/>
      <c r="K265" s="41" t="s">
        <v>1853</v>
      </c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</row>
    <row r="266" ht="21.0" customHeight="1">
      <c r="A266" s="40">
        <v>265.0</v>
      </c>
      <c r="B266" s="40" t="s">
        <v>43</v>
      </c>
      <c r="C266" s="40" t="s">
        <v>1854</v>
      </c>
      <c r="D266" s="40"/>
      <c r="E266" s="40" t="s">
        <v>1855</v>
      </c>
      <c r="F266" s="40" t="s">
        <v>1856</v>
      </c>
      <c r="G266" s="40" t="s">
        <v>1857</v>
      </c>
      <c r="H266" s="40" t="s">
        <v>1858</v>
      </c>
      <c r="I266" s="40" t="s">
        <v>1859</v>
      </c>
      <c r="J266" s="40"/>
      <c r="K266" s="41" t="s">
        <v>1860</v>
      </c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</row>
    <row r="267" ht="21.0" customHeight="1">
      <c r="A267" s="40">
        <v>266.0</v>
      </c>
      <c r="B267" s="40" t="s">
        <v>43</v>
      </c>
      <c r="C267" s="40" t="s">
        <v>1861</v>
      </c>
      <c r="D267" s="40" t="s">
        <v>1862</v>
      </c>
      <c r="E267" s="40" t="s">
        <v>1863</v>
      </c>
      <c r="F267" s="40" t="s">
        <v>1864</v>
      </c>
      <c r="G267" s="40" t="s">
        <v>1865</v>
      </c>
      <c r="H267" s="40" t="s">
        <v>1866</v>
      </c>
      <c r="I267" s="40" t="s">
        <v>1867</v>
      </c>
      <c r="J267" s="40"/>
      <c r="K267" s="41" t="s">
        <v>1868</v>
      </c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</row>
    <row r="268" ht="21.0" customHeight="1">
      <c r="A268" s="40">
        <v>267.0</v>
      </c>
      <c r="B268" s="40" t="s">
        <v>43</v>
      </c>
      <c r="C268" s="40" t="s">
        <v>1869</v>
      </c>
      <c r="D268" s="40" t="s">
        <v>1862</v>
      </c>
      <c r="E268" s="40" t="s">
        <v>1870</v>
      </c>
      <c r="F268" s="40" t="s">
        <v>1871</v>
      </c>
      <c r="G268" s="40" t="s">
        <v>1872</v>
      </c>
      <c r="H268" s="40" t="s">
        <v>1873</v>
      </c>
      <c r="I268" s="40" t="s">
        <v>1874</v>
      </c>
      <c r="J268" s="40"/>
      <c r="K268" s="41" t="s">
        <v>1875</v>
      </c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</row>
    <row r="269" ht="21.0" customHeight="1">
      <c r="A269" s="40">
        <v>268.0</v>
      </c>
      <c r="B269" s="40" t="s">
        <v>43</v>
      </c>
      <c r="C269" s="40" t="s">
        <v>1876</v>
      </c>
      <c r="D269" s="40" t="s">
        <v>1862</v>
      </c>
      <c r="E269" s="40" t="s">
        <v>1877</v>
      </c>
      <c r="F269" s="40" t="s">
        <v>1878</v>
      </c>
      <c r="G269" s="40" t="s">
        <v>1879</v>
      </c>
      <c r="H269" s="40" t="s">
        <v>1880</v>
      </c>
      <c r="I269" s="40" t="s">
        <v>1881</v>
      </c>
      <c r="J269" s="40"/>
      <c r="K269" s="41" t="s">
        <v>1882</v>
      </c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</row>
    <row r="270" ht="21.0" customHeight="1">
      <c r="A270" s="40">
        <v>269.0</v>
      </c>
      <c r="B270" s="40" t="s">
        <v>43</v>
      </c>
      <c r="C270" s="40" t="s">
        <v>1883</v>
      </c>
      <c r="D270" s="40" t="s">
        <v>1862</v>
      </c>
      <c r="E270" s="40" t="s">
        <v>1884</v>
      </c>
      <c r="F270" s="40" t="s">
        <v>1885</v>
      </c>
      <c r="G270" s="40" t="s">
        <v>1886</v>
      </c>
      <c r="H270" s="40" t="s">
        <v>1887</v>
      </c>
      <c r="I270" s="40" t="s">
        <v>1888</v>
      </c>
      <c r="J270" s="40"/>
      <c r="K270" s="41" t="s">
        <v>1889</v>
      </c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</row>
    <row r="271" ht="21.0" customHeight="1">
      <c r="A271" s="40">
        <v>270.0</v>
      </c>
      <c r="B271" s="40" t="s">
        <v>43</v>
      </c>
      <c r="C271" s="40" t="s">
        <v>1890</v>
      </c>
      <c r="D271" s="40" t="s">
        <v>1862</v>
      </c>
      <c r="E271" s="40" t="s">
        <v>1891</v>
      </c>
      <c r="F271" s="40" t="s">
        <v>1892</v>
      </c>
      <c r="G271" s="40" t="s">
        <v>1893</v>
      </c>
      <c r="H271" s="40" t="s">
        <v>1894</v>
      </c>
      <c r="I271" s="40" t="s">
        <v>1895</v>
      </c>
      <c r="J271" s="40"/>
      <c r="K271" s="41" t="s">
        <v>1896</v>
      </c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</row>
    <row r="272" ht="21.0" customHeight="1">
      <c r="A272" s="40">
        <v>271.0</v>
      </c>
      <c r="B272" s="40" t="s">
        <v>43</v>
      </c>
      <c r="C272" s="40" t="s">
        <v>1897</v>
      </c>
      <c r="D272" s="40"/>
      <c r="E272" s="40" t="s">
        <v>1898</v>
      </c>
      <c r="F272" s="40" t="s">
        <v>1899</v>
      </c>
      <c r="G272" s="40" t="s">
        <v>1900</v>
      </c>
      <c r="H272" s="40" t="s">
        <v>1901</v>
      </c>
      <c r="I272" s="40" t="s">
        <v>1902</v>
      </c>
      <c r="J272" s="40" t="s">
        <v>1802</v>
      </c>
      <c r="K272" s="41" t="s">
        <v>1903</v>
      </c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</row>
    <row r="273" ht="21.0" customHeight="1">
      <c r="A273" s="40">
        <v>272.0</v>
      </c>
      <c r="B273" s="40" t="s">
        <v>43</v>
      </c>
      <c r="C273" s="40" t="s">
        <v>1904</v>
      </c>
      <c r="D273" s="40"/>
      <c r="E273" s="40" t="s">
        <v>1905</v>
      </c>
      <c r="F273" s="40" t="s">
        <v>1906</v>
      </c>
      <c r="G273" s="40" t="s">
        <v>1907</v>
      </c>
      <c r="H273" s="40" t="s">
        <v>1908</v>
      </c>
      <c r="I273" s="40" t="s">
        <v>1909</v>
      </c>
      <c r="J273" s="40" t="s">
        <v>1802</v>
      </c>
      <c r="K273" s="41" t="s">
        <v>1910</v>
      </c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</row>
    <row r="274" ht="21.0" customHeight="1">
      <c r="A274" s="40">
        <v>273.0</v>
      </c>
      <c r="B274" s="40" t="s">
        <v>43</v>
      </c>
      <c r="C274" s="40" t="s">
        <v>1911</v>
      </c>
      <c r="D274" s="40"/>
      <c r="E274" s="40" t="s">
        <v>1912</v>
      </c>
      <c r="F274" s="40" t="s">
        <v>1913</v>
      </c>
      <c r="G274" s="40" t="s">
        <v>1914</v>
      </c>
      <c r="H274" s="40" t="s">
        <v>1915</v>
      </c>
      <c r="I274" s="40" t="s">
        <v>1916</v>
      </c>
      <c r="J274" s="40"/>
      <c r="K274" s="41" t="s">
        <v>1917</v>
      </c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</row>
    <row r="275" ht="21.0" customHeight="1">
      <c r="A275" s="40">
        <v>274.0</v>
      </c>
      <c r="B275" s="40" t="s">
        <v>43</v>
      </c>
      <c r="C275" s="40" t="s">
        <v>1918</v>
      </c>
      <c r="D275" s="40"/>
      <c r="E275" s="40" t="s">
        <v>1919</v>
      </c>
      <c r="F275" s="40" t="s">
        <v>1920</v>
      </c>
      <c r="G275" s="40" t="s">
        <v>1921</v>
      </c>
      <c r="H275" s="40" t="s">
        <v>1922</v>
      </c>
      <c r="I275" s="40" t="s">
        <v>1923</v>
      </c>
      <c r="J275" s="40"/>
      <c r="K275" s="41" t="s">
        <v>1924</v>
      </c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</row>
    <row r="276" ht="21.0" customHeight="1">
      <c r="A276" s="40">
        <v>275.0</v>
      </c>
      <c r="B276" s="40" t="s">
        <v>43</v>
      </c>
      <c r="C276" s="40" t="s">
        <v>1925</v>
      </c>
      <c r="D276" s="40"/>
      <c r="E276" s="40" t="s">
        <v>1926</v>
      </c>
      <c r="F276" s="40" t="s">
        <v>1927</v>
      </c>
      <c r="G276" s="40" t="s">
        <v>1928</v>
      </c>
      <c r="H276" s="40" t="s">
        <v>1929</v>
      </c>
      <c r="I276" s="40" t="s">
        <v>1930</v>
      </c>
      <c r="J276" s="40"/>
      <c r="K276" s="41" t="s">
        <v>1931</v>
      </c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</row>
    <row r="277" ht="21.0" customHeight="1">
      <c r="A277" s="40">
        <v>276.0</v>
      </c>
      <c r="B277" s="40" t="s">
        <v>43</v>
      </c>
      <c r="C277" s="40" t="s">
        <v>1932</v>
      </c>
      <c r="D277" s="40"/>
      <c r="E277" s="40" t="s">
        <v>1933</v>
      </c>
      <c r="F277" s="40" t="s">
        <v>1934</v>
      </c>
      <c r="G277" s="40" t="s">
        <v>1935</v>
      </c>
      <c r="H277" s="40" t="s">
        <v>1936</v>
      </c>
      <c r="I277" s="40" t="s">
        <v>1937</v>
      </c>
      <c r="J277" s="40"/>
      <c r="K277" s="41" t="s">
        <v>1938</v>
      </c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</row>
    <row r="278" ht="21.0" customHeight="1">
      <c r="A278" s="40">
        <v>277.0</v>
      </c>
      <c r="B278" s="40" t="s">
        <v>43</v>
      </c>
      <c r="C278" s="40" t="s">
        <v>1939</v>
      </c>
      <c r="D278" s="40"/>
      <c r="E278" s="40" t="s">
        <v>1940</v>
      </c>
      <c r="F278" s="40" t="s">
        <v>1941</v>
      </c>
      <c r="G278" s="40" t="s">
        <v>1942</v>
      </c>
      <c r="H278" s="40" t="s">
        <v>1943</v>
      </c>
      <c r="I278" s="40" t="s">
        <v>1944</v>
      </c>
      <c r="J278" s="40"/>
      <c r="K278" s="41" t="s">
        <v>1945</v>
      </c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</row>
    <row r="279" ht="21.0" customHeight="1">
      <c r="A279" s="40">
        <v>278.0</v>
      </c>
      <c r="B279" s="40" t="s">
        <v>43</v>
      </c>
      <c r="C279" s="40" t="s">
        <v>1946</v>
      </c>
      <c r="D279" s="40" t="s">
        <v>1947</v>
      </c>
      <c r="E279" s="40" t="s">
        <v>1948</v>
      </c>
      <c r="F279" s="40" t="s">
        <v>1949</v>
      </c>
      <c r="G279" s="40" t="s">
        <v>1950</v>
      </c>
      <c r="H279" s="40" t="s">
        <v>1951</v>
      </c>
      <c r="I279" s="40" t="s">
        <v>1952</v>
      </c>
      <c r="J279" s="40"/>
      <c r="K279" s="41" t="s">
        <v>1953</v>
      </c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</row>
    <row r="280" ht="21.0" customHeight="1">
      <c r="A280" s="40">
        <v>279.0</v>
      </c>
      <c r="B280" s="40" t="s">
        <v>43</v>
      </c>
      <c r="C280" s="40" t="s">
        <v>1954</v>
      </c>
      <c r="D280" s="40" t="s">
        <v>1947</v>
      </c>
      <c r="E280" s="40" t="s">
        <v>1948</v>
      </c>
      <c r="F280" s="40" t="s">
        <v>1955</v>
      </c>
      <c r="G280" s="40" t="s">
        <v>1956</v>
      </c>
      <c r="H280" s="40" t="s">
        <v>1957</v>
      </c>
      <c r="I280" s="40" t="s">
        <v>1952</v>
      </c>
      <c r="J280" s="40"/>
      <c r="K280" s="41" t="s">
        <v>1958</v>
      </c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</row>
    <row r="281" ht="21.0" customHeight="1">
      <c r="A281" s="40">
        <v>280.0</v>
      </c>
      <c r="B281" s="40" t="s">
        <v>43</v>
      </c>
      <c r="C281" s="40" t="s">
        <v>1959</v>
      </c>
      <c r="D281" s="40" t="s">
        <v>1947</v>
      </c>
      <c r="E281" s="40" t="s">
        <v>1948</v>
      </c>
      <c r="F281" s="40" t="s">
        <v>1960</v>
      </c>
      <c r="G281" s="40" t="s">
        <v>1961</v>
      </c>
      <c r="H281" s="40" t="s">
        <v>1962</v>
      </c>
      <c r="I281" s="40" t="s">
        <v>1952</v>
      </c>
      <c r="J281" s="40"/>
      <c r="K281" s="41" t="s">
        <v>1963</v>
      </c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</row>
    <row r="282" ht="21.0" customHeight="1">
      <c r="A282" s="40">
        <v>281.0</v>
      </c>
      <c r="B282" s="40" t="s">
        <v>43</v>
      </c>
      <c r="C282" s="40" t="s">
        <v>1964</v>
      </c>
      <c r="D282" s="40"/>
      <c r="E282" s="40" t="s">
        <v>1965</v>
      </c>
      <c r="F282" s="40" t="s">
        <v>1966</v>
      </c>
      <c r="G282" s="40" t="s">
        <v>1967</v>
      </c>
      <c r="H282" s="40" t="s">
        <v>1968</v>
      </c>
      <c r="I282" s="40" t="s">
        <v>1969</v>
      </c>
      <c r="J282" s="40"/>
      <c r="K282" s="41" t="s">
        <v>1970</v>
      </c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</row>
    <row r="283" ht="21.0" customHeight="1">
      <c r="A283" s="40">
        <v>282.0</v>
      </c>
      <c r="B283" s="40" t="s">
        <v>43</v>
      </c>
      <c r="C283" s="40" t="s">
        <v>1971</v>
      </c>
      <c r="D283" s="40"/>
      <c r="E283" s="40" t="s">
        <v>1972</v>
      </c>
      <c r="F283" s="40" t="s">
        <v>1973</v>
      </c>
      <c r="G283" s="40" t="s">
        <v>1974</v>
      </c>
      <c r="H283" s="40" t="s">
        <v>1975</v>
      </c>
      <c r="I283" s="40" t="s">
        <v>1976</v>
      </c>
      <c r="J283" s="40"/>
      <c r="K283" s="41" t="s">
        <v>1977</v>
      </c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</row>
    <row r="284" ht="21.0" customHeight="1">
      <c r="A284" s="40">
        <v>283.0</v>
      </c>
      <c r="B284" s="40" t="s">
        <v>43</v>
      </c>
      <c r="C284" s="40" t="s">
        <v>1978</v>
      </c>
      <c r="D284" s="40" t="s">
        <v>1979</v>
      </c>
      <c r="E284" s="40" t="s">
        <v>1980</v>
      </c>
      <c r="F284" s="40" t="s">
        <v>1981</v>
      </c>
      <c r="G284" s="40" t="s">
        <v>1982</v>
      </c>
      <c r="H284" s="40" t="s">
        <v>1983</v>
      </c>
      <c r="I284" s="40" t="s">
        <v>1984</v>
      </c>
      <c r="J284" s="40"/>
      <c r="K284" s="41" t="s">
        <v>1985</v>
      </c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</row>
    <row r="285" ht="21.0" customHeight="1">
      <c r="A285" s="40">
        <v>284.0</v>
      </c>
      <c r="B285" s="40" t="s">
        <v>43</v>
      </c>
      <c r="C285" s="40" t="s">
        <v>1986</v>
      </c>
      <c r="D285" s="40" t="s">
        <v>1979</v>
      </c>
      <c r="E285" s="40" t="s">
        <v>1987</v>
      </c>
      <c r="F285" s="40" t="s">
        <v>1988</v>
      </c>
      <c r="G285" s="40" t="s">
        <v>1989</v>
      </c>
      <c r="H285" s="40" t="s">
        <v>1990</v>
      </c>
      <c r="I285" s="40" t="s">
        <v>1991</v>
      </c>
      <c r="J285" s="40"/>
      <c r="K285" s="41" t="s">
        <v>1992</v>
      </c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</row>
    <row r="286" ht="21.0" customHeight="1">
      <c r="A286" s="40">
        <v>285.0</v>
      </c>
      <c r="B286" s="40" t="s">
        <v>43</v>
      </c>
      <c r="C286" s="40" t="s">
        <v>1993</v>
      </c>
      <c r="D286" s="40" t="s">
        <v>1979</v>
      </c>
      <c r="E286" s="40" t="s">
        <v>1994</v>
      </c>
      <c r="F286" s="40" t="s">
        <v>1995</v>
      </c>
      <c r="G286" s="40" t="s">
        <v>1996</v>
      </c>
      <c r="H286" s="40" t="s">
        <v>1997</v>
      </c>
      <c r="I286" s="40" t="s">
        <v>1998</v>
      </c>
      <c r="J286" s="40"/>
      <c r="K286" s="41" t="s">
        <v>1999</v>
      </c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</row>
    <row r="287" ht="21.0" customHeight="1">
      <c r="A287" s="40">
        <v>286.0</v>
      </c>
      <c r="B287" s="40" t="s">
        <v>43</v>
      </c>
      <c r="C287" s="40" t="s">
        <v>2000</v>
      </c>
      <c r="D287" s="40" t="s">
        <v>1979</v>
      </c>
      <c r="E287" s="40" t="s">
        <v>2001</v>
      </c>
      <c r="F287" s="40" t="s">
        <v>2002</v>
      </c>
      <c r="G287" s="40" t="s">
        <v>2003</v>
      </c>
      <c r="H287" s="40" t="s">
        <v>2004</v>
      </c>
      <c r="I287" s="40" t="s">
        <v>2005</v>
      </c>
      <c r="J287" s="40"/>
      <c r="K287" s="41" t="s">
        <v>2006</v>
      </c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</row>
    <row r="288" ht="21.0" customHeight="1">
      <c r="A288" s="40">
        <v>287.0</v>
      </c>
      <c r="B288" s="40" t="s">
        <v>43</v>
      </c>
      <c r="C288" s="40" t="s">
        <v>2007</v>
      </c>
      <c r="D288" s="40" t="s">
        <v>1979</v>
      </c>
      <c r="E288" s="40" t="s">
        <v>2008</v>
      </c>
      <c r="F288" s="40" t="s">
        <v>2009</v>
      </c>
      <c r="G288" s="40" t="s">
        <v>2010</v>
      </c>
      <c r="H288" s="40" t="s">
        <v>2011</v>
      </c>
      <c r="I288" s="40" t="s">
        <v>2012</v>
      </c>
      <c r="J288" s="40"/>
      <c r="K288" s="41" t="s">
        <v>2013</v>
      </c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</row>
    <row r="289" ht="21.0" customHeight="1">
      <c r="A289" s="40">
        <v>288.0</v>
      </c>
      <c r="B289" s="40" t="s">
        <v>43</v>
      </c>
      <c r="C289" s="40" t="s">
        <v>2014</v>
      </c>
      <c r="D289" s="40" t="s">
        <v>1979</v>
      </c>
      <c r="E289" s="40" t="s">
        <v>2015</v>
      </c>
      <c r="F289" s="40" t="s">
        <v>2016</v>
      </c>
      <c r="G289" s="40" t="s">
        <v>2017</v>
      </c>
      <c r="H289" s="40" t="s">
        <v>2018</v>
      </c>
      <c r="I289" s="40" t="s">
        <v>2019</v>
      </c>
      <c r="J289" s="40"/>
      <c r="K289" s="41" t="s">
        <v>2020</v>
      </c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</row>
    <row r="290" ht="21.0" customHeight="1">
      <c r="A290" s="40">
        <v>289.0</v>
      </c>
      <c r="B290" s="40" t="s">
        <v>43</v>
      </c>
      <c r="C290" s="40" t="s">
        <v>2021</v>
      </c>
      <c r="D290" s="40" t="s">
        <v>1979</v>
      </c>
      <c r="E290" s="40" t="s">
        <v>2022</v>
      </c>
      <c r="F290" s="40" t="s">
        <v>2023</v>
      </c>
      <c r="G290" s="40" t="s">
        <v>2024</v>
      </c>
      <c r="H290" s="40" t="s">
        <v>2025</v>
      </c>
      <c r="I290" s="40" t="s">
        <v>2026</v>
      </c>
      <c r="J290" s="40"/>
      <c r="K290" s="41" t="s">
        <v>2027</v>
      </c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</row>
    <row r="291" ht="21.0" customHeight="1">
      <c r="A291" s="40">
        <v>290.0</v>
      </c>
      <c r="B291" s="40" t="s">
        <v>43</v>
      </c>
      <c r="C291" s="40" t="s">
        <v>2028</v>
      </c>
      <c r="D291" s="40" t="s">
        <v>1979</v>
      </c>
      <c r="E291" s="40" t="s">
        <v>2029</v>
      </c>
      <c r="F291" s="40" t="s">
        <v>2030</v>
      </c>
      <c r="G291" s="40" t="s">
        <v>2031</v>
      </c>
      <c r="H291" s="40" t="s">
        <v>2032</v>
      </c>
      <c r="I291" s="40" t="s">
        <v>2033</v>
      </c>
      <c r="J291" s="40"/>
      <c r="K291" s="41" t="s">
        <v>2034</v>
      </c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</row>
    <row r="292" ht="21.0" customHeight="1">
      <c r="A292" s="40">
        <v>291.0</v>
      </c>
      <c r="B292" s="40" t="s">
        <v>43</v>
      </c>
      <c r="C292" s="40" t="s">
        <v>2035</v>
      </c>
      <c r="D292" s="40" t="s">
        <v>1979</v>
      </c>
      <c r="E292" s="40" t="s">
        <v>2036</v>
      </c>
      <c r="F292" s="40" t="s">
        <v>2037</v>
      </c>
      <c r="G292" s="40" t="s">
        <v>2038</v>
      </c>
      <c r="H292" s="40" t="s">
        <v>2039</v>
      </c>
      <c r="I292" s="40" t="s">
        <v>2040</v>
      </c>
      <c r="J292" s="40"/>
      <c r="K292" s="41" t="s">
        <v>2041</v>
      </c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</row>
    <row r="293" ht="21.0" customHeight="1">
      <c r="A293" s="40">
        <v>292.0</v>
      </c>
      <c r="B293" s="40" t="s">
        <v>43</v>
      </c>
      <c r="C293" s="40" t="s">
        <v>2042</v>
      </c>
      <c r="D293" s="40" t="s">
        <v>1979</v>
      </c>
      <c r="E293" s="40" t="s">
        <v>2043</v>
      </c>
      <c r="F293" s="40" t="s">
        <v>2044</v>
      </c>
      <c r="G293" s="40" t="s">
        <v>2045</v>
      </c>
      <c r="H293" s="40" t="s">
        <v>2046</v>
      </c>
      <c r="I293" s="40" t="s">
        <v>2047</v>
      </c>
      <c r="J293" s="40"/>
      <c r="K293" s="41" t="s">
        <v>2048</v>
      </c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</row>
    <row r="294" ht="21.0" customHeight="1">
      <c r="A294" s="40">
        <v>293.0</v>
      </c>
      <c r="B294" s="40" t="s">
        <v>43</v>
      </c>
      <c r="C294" s="40" t="s">
        <v>2049</v>
      </c>
      <c r="D294" s="40" t="s">
        <v>1979</v>
      </c>
      <c r="E294" s="40" t="s">
        <v>2050</v>
      </c>
      <c r="F294" s="40" t="s">
        <v>2051</v>
      </c>
      <c r="G294" s="40" t="s">
        <v>2052</v>
      </c>
      <c r="H294" s="40" t="s">
        <v>2053</v>
      </c>
      <c r="I294" s="40" t="s">
        <v>2054</v>
      </c>
      <c r="J294" s="40"/>
      <c r="K294" s="41" t="s">
        <v>2055</v>
      </c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</row>
    <row r="295" ht="21.0" customHeight="1">
      <c r="A295" s="40">
        <v>294.0</v>
      </c>
      <c r="B295" s="40" t="s">
        <v>43</v>
      </c>
      <c r="C295" s="40" t="s">
        <v>2056</v>
      </c>
      <c r="D295" s="40" t="s">
        <v>1979</v>
      </c>
      <c r="E295" s="40" t="s">
        <v>2057</v>
      </c>
      <c r="F295" s="40" t="s">
        <v>2058</v>
      </c>
      <c r="G295" s="40" t="s">
        <v>2059</v>
      </c>
      <c r="H295" s="40" t="s">
        <v>2060</v>
      </c>
      <c r="I295" s="40" t="s">
        <v>2061</v>
      </c>
      <c r="J295" s="40"/>
      <c r="K295" s="41" t="s">
        <v>2062</v>
      </c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</row>
    <row r="296" ht="21.0" customHeight="1">
      <c r="A296" s="40">
        <v>295.0</v>
      </c>
      <c r="B296" s="40" t="s">
        <v>43</v>
      </c>
      <c r="C296" s="40" t="s">
        <v>2063</v>
      </c>
      <c r="D296" s="40" t="s">
        <v>1979</v>
      </c>
      <c r="E296" s="40" t="s">
        <v>2064</v>
      </c>
      <c r="F296" s="40" t="s">
        <v>2065</v>
      </c>
      <c r="G296" s="40" t="s">
        <v>2066</v>
      </c>
      <c r="H296" s="40" t="s">
        <v>2067</v>
      </c>
      <c r="I296" s="40" t="s">
        <v>2068</v>
      </c>
      <c r="J296" s="40"/>
      <c r="K296" s="41" t="s">
        <v>2069</v>
      </c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</row>
    <row r="297" ht="21.0" customHeight="1">
      <c r="A297" s="40">
        <v>296.0</v>
      </c>
      <c r="B297" s="40" t="s">
        <v>43</v>
      </c>
      <c r="C297" s="40" t="s">
        <v>2070</v>
      </c>
      <c r="D297" s="40" t="s">
        <v>2071</v>
      </c>
      <c r="E297" s="40" t="s">
        <v>2072</v>
      </c>
      <c r="F297" s="40" t="s">
        <v>2073</v>
      </c>
      <c r="G297" s="40" t="s">
        <v>2074</v>
      </c>
      <c r="H297" s="40" t="s">
        <v>2075</v>
      </c>
      <c r="I297" s="40" t="s">
        <v>2076</v>
      </c>
      <c r="J297" s="40" t="s">
        <v>2077</v>
      </c>
      <c r="K297" s="41" t="s">
        <v>2078</v>
      </c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</row>
    <row r="298" ht="21.0" customHeight="1">
      <c r="A298" s="40">
        <v>297.0</v>
      </c>
      <c r="B298" s="40" t="s">
        <v>43</v>
      </c>
      <c r="C298" s="40" t="s">
        <v>2079</v>
      </c>
      <c r="D298" s="40" t="s">
        <v>2071</v>
      </c>
      <c r="E298" s="40" t="s">
        <v>2080</v>
      </c>
      <c r="F298" s="40" t="s">
        <v>2081</v>
      </c>
      <c r="G298" s="40" t="s">
        <v>2082</v>
      </c>
      <c r="H298" s="40" t="s">
        <v>2083</v>
      </c>
      <c r="I298" s="40" t="s">
        <v>2084</v>
      </c>
      <c r="J298" s="40" t="s">
        <v>2077</v>
      </c>
      <c r="K298" s="41" t="s">
        <v>2085</v>
      </c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</row>
    <row r="299" ht="21.0" customHeight="1">
      <c r="A299" s="40">
        <v>298.0</v>
      </c>
      <c r="B299" s="40" t="s">
        <v>43</v>
      </c>
      <c r="C299" s="40" t="s">
        <v>2086</v>
      </c>
      <c r="D299" s="40" t="s">
        <v>2071</v>
      </c>
      <c r="E299" s="40" t="s">
        <v>2087</v>
      </c>
      <c r="F299" s="40" t="s">
        <v>2088</v>
      </c>
      <c r="G299" s="40" t="s">
        <v>2089</v>
      </c>
      <c r="H299" s="40" t="s">
        <v>2090</v>
      </c>
      <c r="I299" s="40" t="s">
        <v>2091</v>
      </c>
      <c r="J299" s="40" t="s">
        <v>2077</v>
      </c>
      <c r="K299" s="41" t="s">
        <v>2092</v>
      </c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</row>
    <row r="300" ht="21.0" customHeight="1">
      <c r="A300" s="40">
        <v>299.0</v>
      </c>
      <c r="B300" s="40" t="s">
        <v>43</v>
      </c>
      <c r="C300" s="40" t="s">
        <v>2093</v>
      </c>
      <c r="D300" s="40" t="s">
        <v>2071</v>
      </c>
      <c r="E300" s="40" t="s">
        <v>2094</v>
      </c>
      <c r="F300" s="40" t="s">
        <v>2095</v>
      </c>
      <c r="G300" s="40" t="s">
        <v>2096</v>
      </c>
      <c r="H300" s="40" t="s">
        <v>2097</v>
      </c>
      <c r="I300" s="40" t="s">
        <v>2098</v>
      </c>
      <c r="J300" s="40" t="s">
        <v>2077</v>
      </c>
      <c r="K300" s="41" t="s">
        <v>2099</v>
      </c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</row>
    <row r="301" ht="21.0" customHeight="1">
      <c r="A301" s="40">
        <v>300.0</v>
      </c>
      <c r="B301" s="40" t="s">
        <v>43</v>
      </c>
      <c r="C301" s="40" t="s">
        <v>2100</v>
      </c>
      <c r="D301" s="40" t="s">
        <v>2071</v>
      </c>
      <c r="E301" s="40" t="s">
        <v>2101</v>
      </c>
      <c r="F301" s="40" t="s">
        <v>2102</v>
      </c>
      <c r="G301" s="40" t="s">
        <v>2103</v>
      </c>
      <c r="H301" s="40" t="s">
        <v>2104</v>
      </c>
      <c r="I301" s="40" t="s">
        <v>2105</v>
      </c>
      <c r="J301" s="40"/>
      <c r="K301" s="41" t="s">
        <v>2106</v>
      </c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</row>
    <row r="302" ht="21.0" customHeight="1">
      <c r="A302" s="40">
        <v>301.0</v>
      </c>
      <c r="B302" s="40" t="s">
        <v>43</v>
      </c>
      <c r="C302" s="40" t="s">
        <v>2107</v>
      </c>
      <c r="D302" s="40" t="s">
        <v>2071</v>
      </c>
      <c r="E302" s="40" t="s">
        <v>2108</v>
      </c>
      <c r="F302" s="40" t="s">
        <v>2109</v>
      </c>
      <c r="G302" s="40" t="s">
        <v>2110</v>
      </c>
      <c r="H302" s="40" t="s">
        <v>2111</v>
      </c>
      <c r="I302" s="40" t="s">
        <v>2112</v>
      </c>
      <c r="J302" s="40"/>
      <c r="K302" s="41" t="s">
        <v>2113</v>
      </c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</row>
    <row r="303" ht="21.0" customHeight="1">
      <c r="A303" s="40">
        <v>302.0</v>
      </c>
      <c r="B303" s="40" t="s">
        <v>43</v>
      </c>
      <c r="C303" s="40" t="s">
        <v>2114</v>
      </c>
      <c r="D303" s="40" t="s">
        <v>2071</v>
      </c>
      <c r="E303" s="40" t="s">
        <v>2115</v>
      </c>
      <c r="F303" s="40" t="s">
        <v>2116</v>
      </c>
      <c r="G303" s="40" t="s">
        <v>2117</v>
      </c>
      <c r="H303" s="40" t="s">
        <v>2118</v>
      </c>
      <c r="I303" s="40" t="s">
        <v>2119</v>
      </c>
      <c r="J303" s="40"/>
      <c r="K303" s="41" t="s">
        <v>2120</v>
      </c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</row>
    <row r="304" ht="21.0" customHeight="1">
      <c r="A304" s="40">
        <v>303.0</v>
      </c>
      <c r="B304" s="40" t="s">
        <v>43</v>
      </c>
      <c r="C304" s="40" t="s">
        <v>2121</v>
      </c>
      <c r="D304" s="40" t="s">
        <v>2071</v>
      </c>
      <c r="E304" s="40" t="s">
        <v>2122</v>
      </c>
      <c r="F304" s="40" t="s">
        <v>2123</v>
      </c>
      <c r="G304" s="40" t="s">
        <v>2124</v>
      </c>
      <c r="H304" s="40" t="s">
        <v>2125</v>
      </c>
      <c r="I304" s="40" t="s">
        <v>2126</v>
      </c>
      <c r="J304" s="40"/>
      <c r="K304" s="41" t="s">
        <v>2127</v>
      </c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</row>
    <row r="305" ht="21.0" customHeight="1">
      <c r="A305" s="40">
        <v>304.0</v>
      </c>
      <c r="B305" s="40" t="s">
        <v>43</v>
      </c>
      <c r="C305" s="40" t="s">
        <v>2128</v>
      </c>
      <c r="D305" s="40"/>
      <c r="E305" s="40" t="s">
        <v>2129</v>
      </c>
      <c r="F305" s="40" t="s">
        <v>2130</v>
      </c>
      <c r="G305" s="40" t="s">
        <v>2131</v>
      </c>
      <c r="H305" s="40" t="s">
        <v>2132</v>
      </c>
      <c r="I305" s="40" t="s">
        <v>2133</v>
      </c>
      <c r="J305" s="40"/>
      <c r="K305" s="41" t="s">
        <v>2134</v>
      </c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</row>
    <row r="306" ht="21.0" customHeight="1">
      <c r="A306" s="40">
        <v>305.0</v>
      </c>
      <c r="B306" s="40" t="s">
        <v>43</v>
      </c>
      <c r="C306" s="40" t="s">
        <v>2135</v>
      </c>
      <c r="D306" s="40" t="s">
        <v>2136</v>
      </c>
      <c r="E306" s="40" t="s">
        <v>2137</v>
      </c>
      <c r="F306" s="40" t="s">
        <v>2138</v>
      </c>
      <c r="G306" s="40" t="s">
        <v>2139</v>
      </c>
      <c r="H306" s="40" t="s">
        <v>2140</v>
      </c>
      <c r="I306" s="40" t="s">
        <v>2141</v>
      </c>
      <c r="J306" s="40"/>
      <c r="K306" s="41" t="s">
        <v>2142</v>
      </c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</row>
    <row r="307" ht="21.0" customHeight="1">
      <c r="A307" s="40">
        <v>306.0</v>
      </c>
      <c r="B307" s="40" t="s">
        <v>43</v>
      </c>
      <c r="C307" s="40" t="s">
        <v>2143</v>
      </c>
      <c r="D307" s="40" t="s">
        <v>2136</v>
      </c>
      <c r="E307" s="40" t="s">
        <v>2137</v>
      </c>
      <c r="F307" s="40" t="s">
        <v>2144</v>
      </c>
      <c r="G307" s="40" t="s">
        <v>2145</v>
      </c>
      <c r="H307" s="40" t="s">
        <v>2146</v>
      </c>
      <c r="I307" s="40" t="s">
        <v>2147</v>
      </c>
      <c r="J307" s="40"/>
      <c r="K307" s="41" t="s">
        <v>2148</v>
      </c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</row>
    <row r="308" ht="21.0" customHeight="1">
      <c r="A308" s="40">
        <v>307.0</v>
      </c>
      <c r="B308" s="40" t="s">
        <v>43</v>
      </c>
      <c r="C308" s="40" t="s">
        <v>2149</v>
      </c>
      <c r="D308" s="40" t="s">
        <v>2136</v>
      </c>
      <c r="E308" s="40" t="s">
        <v>2137</v>
      </c>
      <c r="F308" s="40" t="s">
        <v>2150</v>
      </c>
      <c r="G308" s="40" t="s">
        <v>2151</v>
      </c>
      <c r="H308" s="40" t="s">
        <v>2152</v>
      </c>
      <c r="I308" s="40" t="s">
        <v>2147</v>
      </c>
      <c r="J308" s="40"/>
      <c r="K308" s="41" t="s">
        <v>2153</v>
      </c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</row>
    <row r="309" ht="21.0" customHeight="1">
      <c r="A309" s="40">
        <v>308.0</v>
      </c>
      <c r="B309" s="40" t="s">
        <v>43</v>
      </c>
      <c r="C309" s="40" t="s">
        <v>2154</v>
      </c>
      <c r="D309" s="40" t="s">
        <v>2136</v>
      </c>
      <c r="E309" s="40" t="s">
        <v>2137</v>
      </c>
      <c r="F309" s="40" t="s">
        <v>2155</v>
      </c>
      <c r="G309" s="40" t="s">
        <v>2156</v>
      </c>
      <c r="H309" s="40" t="s">
        <v>2157</v>
      </c>
      <c r="I309" s="40" t="s">
        <v>2158</v>
      </c>
      <c r="J309" s="40"/>
      <c r="K309" s="41" t="s">
        <v>2159</v>
      </c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</row>
    <row r="310" ht="21.0" customHeight="1">
      <c r="A310" s="40">
        <v>309.0</v>
      </c>
      <c r="B310" s="40" t="s">
        <v>43</v>
      </c>
      <c r="C310" s="40" t="s">
        <v>2160</v>
      </c>
      <c r="D310" s="40" t="s">
        <v>2160</v>
      </c>
      <c r="E310" s="40" t="s">
        <v>2161</v>
      </c>
      <c r="F310" s="40" t="s">
        <v>2162</v>
      </c>
      <c r="G310" s="51" t="s">
        <v>2163</v>
      </c>
      <c r="H310" s="40" t="s">
        <v>2164</v>
      </c>
      <c r="I310" s="40"/>
      <c r="J310" s="40" t="s">
        <v>328</v>
      </c>
      <c r="K310" s="41"/>
      <c r="L310" s="41"/>
      <c r="M310" s="41"/>
      <c r="N310" s="41"/>
      <c r="O310" s="41"/>
      <c r="P310" s="41"/>
      <c r="Q310" s="41"/>
      <c r="R310" s="42"/>
      <c r="S310" s="42"/>
      <c r="T310" s="42"/>
      <c r="U310" s="42"/>
      <c r="V310" s="42"/>
      <c r="W310" s="42"/>
      <c r="X310" s="42"/>
      <c r="Y310" s="42"/>
    </row>
    <row r="311" ht="21.0" customHeight="1">
      <c r="A311" s="40">
        <v>310.0</v>
      </c>
      <c r="B311" s="40" t="s">
        <v>43</v>
      </c>
      <c r="C311" s="40" t="s">
        <v>2165</v>
      </c>
      <c r="D311" s="40" t="s">
        <v>2160</v>
      </c>
      <c r="E311" s="40" t="s">
        <v>2161</v>
      </c>
      <c r="F311" s="40" t="s">
        <v>2166</v>
      </c>
      <c r="G311" s="51" t="s">
        <v>2167</v>
      </c>
      <c r="H311" s="40" t="s">
        <v>2168</v>
      </c>
      <c r="I311" s="40"/>
      <c r="J311" s="40" t="s">
        <v>328</v>
      </c>
      <c r="K311" s="41"/>
      <c r="L311" s="41"/>
      <c r="M311" s="41"/>
      <c r="N311" s="41"/>
      <c r="O311" s="41"/>
      <c r="P311" s="41"/>
      <c r="Q311" s="41"/>
      <c r="R311" s="42"/>
      <c r="S311" s="42"/>
      <c r="T311" s="42"/>
      <c r="U311" s="42"/>
      <c r="V311" s="42"/>
      <c r="W311" s="42"/>
      <c r="X311" s="42"/>
      <c r="Y311" s="42"/>
    </row>
    <row r="312" ht="21.0" customHeight="1">
      <c r="A312" s="40">
        <v>311.0</v>
      </c>
      <c r="B312" s="40" t="s">
        <v>43</v>
      </c>
      <c r="C312" s="40" t="s">
        <v>2169</v>
      </c>
      <c r="D312" s="40" t="s">
        <v>2160</v>
      </c>
      <c r="E312" s="40" t="s">
        <v>2161</v>
      </c>
      <c r="F312" s="40" t="s">
        <v>2170</v>
      </c>
      <c r="G312" s="51" t="s">
        <v>2171</v>
      </c>
      <c r="H312" s="40" t="s">
        <v>2172</v>
      </c>
      <c r="I312" s="40"/>
      <c r="J312" s="40" t="s">
        <v>328</v>
      </c>
      <c r="K312" s="41"/>
      <c r="L312" s="41"/>
      <c r="M312" s="41"/>
      <c r="N312" s="41"/>
      <c r="O312" s="41"/>
      <c r="P312" s="41"/>
      <c r="Q312" s="41"/>
      <c r="R312" s="42"/>
      <c r="S312" s="42"/>
      <c r="T312" s="42"/>
      <c r="U312" s="42"/>
      <c r="V312" s="42"/>
      <c r="W312" s="42"/>
      <c r="X312" s="42"/>
      <c r="Y312" s="42"/>
    </row>
    <row r="313" ht="21.0" customHeight="1">
      <c r="A313" s="40">
        <v>312.0</v>
      </c>
      <c r="B313" s="40" t="s">
        <v>43</v>
      </c>
      <c r="C313" s="40" t="s">
        <v>2173</v>
      </c>
      <c r="D313" s="40" t="s">
        <v>2160</v>
      </c>
      <c r="E313" s="40" t="s">
        <v>2161</v>
      </c>
      <c r="F313" s="40" t="s">
        <v>2174</v>
      </c>
      <c r="G313" s="51" t="s">
        <v>2175</v>
      </c>
      <c r="H313" s="40" t="s">
        <v>2176</v>
      </c>
      <c r="I313" s="40"/>
      <c r="J313" s="40" t="s">
        <v>328</v>
      </c>
      <c r="K313" s="41"/>
      <c r="L313" s="41"/>
      <c r="M313" s="41"/>
      <c r="N313" s="41"/>
      <c r="O313" s="41"/>
      <c r="P313" s="41"/>
      <c r="Q313" s="41"/>
      <c r="R313" s="42"/>
      <c r="S313" s="42"/>
      <c r="T313" s="42"/>
      <c r="U313" s="42"/>
      <c r="V313" s="42"/>
      <c r="W313" s="42"/>
      <c r="X313" s="42"/>
      <c r="Y313" s="42"/>
    </row>
    <row r="314" ht="21.0" customHeight="1">
      <c r="A314" s="40">
        <v>313.0</v>
      </c>
      <c r="B314" s="40" t="s">
        <v>43</v>
      </c>
      <c r="C314" s="40" t="s">
        <v>2177</v>
      </c>
      <c r="D314" s="40" t="s">
        <v>2160</v>
      </c>
      <c r="E314" s="40" t="s">
        <v>2161</v>
      </c>
      <c r="F314" s="40" t="s">
        <v>2178</v>
      </c>
      <c r="G314" s="51" t="s">
        <v>2179</v>
      </c>
      <c r="H314" s="40" t="s">
        <v>2180</v>
      </c>
      <c r="I314" s="40"/>
      <c r="J314" s="40" t="s">
        <v>328</v>
      </c>
      <c r="K314" s="41"/>
      <c r="L314" s="41"/>
      <c r="M314" s="41"/>
      <c r="N314" s="41"/>
      <c r="O314" s="41"/>
      <c r="P314" s="41"/>
      <c r="Q314" s="41"/>
      <c r="R314" s="42"/>
      <c r="S314" s="42"/>
      <c r="T314" s="42"/>
      <c r="U314" s="42"/>
      <c r="V314" s="42"/>
      <c r="W314" s="42"/>
      <c r="X314" s="42"/>
      <c r="Y314" s="42"/>
    </row>
    <row r="315" ht="21.0" customHeight="1">
      <c r="A315" s="40">
        <v>314.0</v>
      </c>
      <c r="B315" s="40" t="s">
        <v>43</v>
      </c>
      <c r="C315" s="40" t="s">
        <v>2181</v>
      </c>
      <c r="D315" s="40"/>
      <c r="E315" s="40" t="s">
        <v>2182</v>
      </c>
      <c r="F315" s="40" t="s">
        <v>2183</v>
      </c>
      <c r="G315" s="40" t="s">
        <v>2184</v>
      </c>
      <c r="H315" s="40" t="s">
        <v>2185</v>
      </c>
      <c r="I315" s="40" t="s">
        <v>2186</v>
      </c>
      <c r="J315" s="40"/>
      <c r="K315" s="41" t="s">
        <v>2187</v>
      </c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</row>
    <row r="316" ht="21.0" customHeight="1">
      <c r="A316" s="40">
        <v>315.0</v>
      </c>
      <c r="B316" s="40" t="s">
        <v>45</v>
      </c>
      <c r="C316" s="40" t="s">
        <v>2188</v>
      </c>
      <c r="D316" s="40"/>
      <c r="E316" s="40" t="s">
        <v>2189</v>
      </c>
      <c r="F316" s="40" t="s">
        <v>2190</v>
      </c>
      <c r="G316" s="40" t="s">
        <v>2191</v>
      </c>
      <c r="H316" s="40" t="s">
        <v>2192</v>
      </c>
      <c r="I316" s="40" t="s">
        <v>2193</v>
      </c>
      <c r="J316" s="40"/>
      <c r="K316" s="41" t="s">
        <v>2194</v>
      </c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</row>
    <row r="317" ht="21.0" customHeight="1">
      <c r="A317" s="40">
        <v>316.0</v>
      </c>
      <c r="B317" s="40" t="s">
        <v>45</v>
      </c>
      <c r="C317" s="40" t="s">
        <v>2195</v>
      </c>
      <c r="D317" s="40"/>
      <c r="E317" s="40" t="s">
        <v>2196</v>
      </c>
      <c r="F317" s="40" t="s">
        <v>2197</v>
      </c>
      <c r="G317" s="40" t="s">
        <v>2198</v>
      </c>
      <c r="H317" s="40" t="s">
        <v>2199</v>
      </c>
      <c r="I317" s="40" t="s">
        <v>2200</v>
      </c>
      <c r="J317" s="40"/>
      <c r="K317" s="41" t="s">
        <v>2201</v>
      </c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</row>
    <row r="318" ht="21.0" customHeight="1">
      <c r="A318" s="40">
        <v>317.0</v>
      </c>
      <c r="B318" s="40" t="s">
        <v>45</v>
      </c>
      <c r="C318" s="40" t="s">
        <v>2202</v>
      </c>
      <c r="D318" s="40" t="s">
        <v>2203</v>
      </c>
      <c r="E318" s="40" t="s">
        <v>2204</v>
      </c>
      <c r="F318" s="40" t="s">
        <v>2205</v>
      </c>
      <c r="G318" s="40" t="s">
        <v>2206</v>
      </c>
      <c r="H318" s="40" t="s">
        <v>2207</v>
      </c>
      <c r="I318" s="40" t="s">
        <v>2208</v>
      </c>
      <c r="J318" s="40"/>
      <c r="K318" s="41" t="s">
        <v>2209</v>
      </c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</row>
    <row r="319" ht="21.0" customHeight="1">
      <c r="A319" s="40">
        <v>318.0</v>
      </c>
      <c r="B319" s="40" t="s">
        <v>45</v>
      </c>
      <c r="C319" s="40" t="s">
        <v>2210</v>
      </c>
      <c r="D319" s="40" t="s">
        <v>2203</v>
      </c>
      <c r="E319" s="40" t="s">
        <v>2204</v>
      </c>
      <c r="F319" s="40" t="s">
        <v>2211</v>
      </c>
      <c r="G319" s="40" t="s">
        <v>2212</v>
      </c>
      <c r="H319" s="40" t="s">
        <v>2213</v>
      </c>
      <c r="I319" s="40" t="s">
        <v>2214</v>
      </c>
      <c r="J319" s="40"/>
      <c r="K319" s="41" t="s">
        <v>2215</v>
      </c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</row>
    <row r="320" ht="21.0" customHeight="1">
      <c r="A320" s="40">
        <v>319.0</v>
      </c>
      <c r="B320" s="40" t="s">
        <v>45</v>
      </c>
      <c r="C320" s="40" t="s">
        <v>2216</v>
      </c>
      <c r="D320" s="40" t="s">
        <v>2203</v>
      </c>
      <c r="E320" s="40" t="s">
        <v>2204</v>
      </c>
      <c r="F320" s="40" t="s">
        <v>2217</v>
      </c>
      <c r="G320" s="40" t="s">
        <v>2218</v>
      </c>
      <c r="H320" s="40" t="s">
        <v>2219</v>
      </c>
      <c r="I320" s="40" t="s">
        <v>2220</v>
      </c>
      <c r="J320" s="40"/>
      <c r="K320" s="41" t="s">
        <v>2221</v>
      </c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</row>
    <row r="321" ht="21.0" customHeight="1">
      <c r="A321" s="40">
        <v>320.0</v>
      </c>
      <c r="B321" s="40" t="s">
        <v>45</v>
      </c>
      <c r="C321" s="40" t="s">
        <v>2222</v>
      </c>
      <c r="D321" s="40" t="s">
        <v>2203</v>
      </c>
      <c r="E321" s="40" t="s">
        <v>2204</v>
      </c>
      <c r="F321" s="40" t="s">
        <v>2223</v>
      </c>
      <c r="G321" s="40" t="s">
        <v>2224</v>
      </c>
      <c r="H321" s="40" t="s">
        <v>2225</v>
      </c>
      <c r="I321" s="40" t="s">
        <v>2226</v>
      </c>
      <c r="J321" s="40"/>
      <c r="K321" s="41" t="s">
        <v>2227</v>
      </c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</row>
    <row r="322" ht="21.0" customHeight="1">
      <c r="A322" s="40">
        <v>321.0</v>
      </c>
      <c r="B322" s="40" t="s">
        <v>45</v>
      </c>
      <c r="C322" s="40" t="s">
        <v>2228</v>
      </c>
      <c r="D322" s="40" t="s">
        <v>2203</v>
      </c>
      <c r="E322" s="40" t="s">
        <v>2204</v>
      </c>
      <c r="F322" s="40" t="s">
        <v>2229</v>
      </c>
      <c r="G322" s="40" t="s">
        <v>2230</v>
      </c>
      <c r="H322" s="40" t="s">
        <v>2231</v>
      </c>
      <c r="I322" s="40" t="s">
        <v>2232</v>
      </c>
      <c r="J322" s="40" t="s">
        <v>222</v>
      </c>
      <c r="K322" s="41" t="s">
        <v>2233</v>
      </c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</row>
    <row r="323" ht="21.0" customHeight="1">
      <c r="A323" s="40">
        <v>322.0</v>
      </c>
      <c r="B323" s="40" t="s">
        <v>45</v>
      </c>
      <c r="C323" s="40" t="s">
        <v>2234</v>
      </c>
      <c r="D323" s="40" t="s">
        <v>2203</v>
      </c>
      <c r="E323" s="40" t="s">
        <v>2204</v>
      </c>
      <c r="F323" s="40" t="s">
        <v>2235</v>
      </c>
      <c r="G323" s="40" t="s">
        <v>2236</v>
      </c>
      <c r="H323" s="40" t="s">
        <v>2237</v>
      </c>
      <c r="I323" s="40" t="s">
        <v>2238</v>
      </c>
      <c r="J323" s="40" t="s">
        <v>222</v>
      </c>
      <c r="K323" s="41" t="s">
        <v>2239</v>
      </c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</row>
    <row r="324" ht="21.0" customHeight="1">
      <c r="A324" s="40">
        <v>323.0</v>
      </c>
      <c r="B324" s="40" t="s">
        <v>45</v>
      </c>
      <c r="C324" s="40" t="s">
        <v>2240</v>
      </c>
      <c r="D324" s="40"/>
      <c r="E324" s="40" t="s">
        <v>2241</v>
      </c>
      <c r="F324" s="40" t="s">
        <v>2242</v>
      </c>
      <c r="G324" s="40" t="s">
        <v>2243</v>
      </c>
      <c r="H324" s="40" t="s">
        <v>2244</v>
      </c>
      <c r="I324" s="40" t="s">
        <v>2245</v>
      </c>
      <c r="J324" s="40"/>
      <c r="K324" s="41" t="s">
        <v>2246</v>
      </c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</row>
    <row r="325" ht="21.0" customHeight="1">
      <c r="A325" s="40">
        <v>324.0</v>
      </c>
      <c r="B325" s="40" t="s">
        <v>45</v>
      </c>
      <c r="C325" s="40" t="s">
        <v>2247</v>
      </c>
      <c r="D325" s="40"/>
      <c r="E325" s="40" t="s">
        <v>2248</v>
      </c>
      <c r="F325" s="40" t="s">
        <v>2249</v>
      </c>
      <c r="G325" s="40" t="s">
        <v>2250</v>
      </c>
      <c r="H325" s="40" t="s">
        <v>2251</v>
      </c>
      <c r="I325" s="40" t="s">
        <v>2252</v>
      </c>
      <c r="J325" s="40" t="s">
        <v>1802</v>
      </c>
      <c r="K325" s="41" t="s">
        <v>2253</v>
      </c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</row>
    <row r="326" ht="21.0" customHeight="1">
      <c r="A326" s="40">
        <v>325.0</v>
      </c>
      <c r="B326" s="40" t="s">
        <v>45</v>
      </c>
      <c r="C326" s="40" t="s">
        <v>2254</v>
      </c>
      <c r="D326" s="40"/>
      <c r="E326" s="40" t="s">
        <v>2255</v>
      </c>
      <c r="F326" s="40" t="s">
        <v>2256</v>
      </c>
      <c r="G326" s="40" t="s">
        <v>2257</v>
      </c>
      <c r="H326" s="40" t="s">
        <v>2258</v>
      </c>
      <c r="I326" s="40" t="s">
        <v>2259</v>
      </c>
      <c r="J326" s="40" t="s">
        <v>1802</v>
      </c>
      <c r="K326" s="41" t="s">
        <v>2260</v>
      </c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</row>
    <row r="327" ht="21.0" customHeight="1">
      <c r="A327" s="40">
        <v>326.0</v>
      </c>
      <c r="B327" s="40" t="s">
        <v>45</v>
      </c>
      <c r="C327" s="40" t="s">
        <v>2261</v>
      </c>
      <c r="D327" s="40"/>
      <c r="E327" s="40" t="s">
        <v>2262</v>
      </c>
      <c r="F327" s="40" t="s">
        <v>2263</v>
      </c>
      <c r="G327" s="40" t="s">
        <v>2264</v>
      </c>
      <c r="H327" s="40" t="s">
        <v>2265</v>
      </c>
      <c r="I327" s="40" t="s">
        <v>2266</v>
      </c>
      <c r="J327" s="40" t="s">
        <v>2267</v>
      </c>
      <c r="K327" s="41" t="s">
        <v>2268</v>
      </c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</row>
    <row r="328" ht="21.0" customHeight="1">
      <c r="A328" s="40">
        <v>327.0</v>
      </c>
      <c r="B328" s="40" t="s">
        <v>45</v>
      </c>
      <c r="C328" s="40" t="s">
        <v>2269</v>
      </c>
      <c r="D328" s="40" t="s">
        <v>2270</v>
      </c>
      <c r="E328" s="40" t="s">
        <v>2271</v>
      </c>
      <c r="F328" s="40" t="s">
        <v>2272</v>
      </c>
      <c r="G328" s="40" t="s">
        <v>2273</v>
      </c>
      <c r="H328" s="40" t="s">
        <v>2274</v>
      </c>
      <c r="I328" s="40" t="s">
        <v>2275</v>
      </c>
      <c r="J328" s="40" t="s">
        <v>2276</v>
      </c>
      <c r="K328" s="41" t="s">
        <v>2277</v>
      </c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</row>
    <row r="329" ht="21.0" customHeight="1">
      <c r="A329" s="40">
        <v>328.0</v>
      </c>
      <c r="B329" s="40" t="s">
        <v>45</v>
      </c>
      <c r="C329" s="40" t="s">
        <v>2278</v>
      </c>
      <c r="D329" s="40" t="s">
        <v>2270</v>
      </c>
      <c r="E329" s="40" t="s">
        <v>2271</v>
      </c>
      <c r="F329" s="40" t="s">
        <v>2279</v>
      </c>
      <c r="G329" s="40" t="s">
        <v>2280</v>
      </c>
      <c r="H329" s="40" t="s">
        <v>2281</v>
      </c>
      <c r="I329" s="40" t="s">
        <v>2282</v>
      </c>
      <c r="J329" s="40" t="s">
        <v>2283</v>
      </c>
      <c r="K329" s="41" t="s">
        <v>2284</v>
      </c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</row>
    <row r="330" ht="21.0" customHeight="1">
      <c r="A330" s="40">
        <v>329.0</v>
      </c>
      <c r="B330" s="40" t="s">
        <v>45</v>
      </c>
      <c r="C330" s="40" t="s">
        <v>2285</v>
      </c>
      <c r="D330" s="40"/>
      <c r="E330" s="40" t="s">
        <v>2286</v>
      </c>
      <c r="F330" s="40" t="s">
        <v>2287</v>
      </c>
      <c r="G330" s="40" t="s">
        <v>2288</v>
      </c>
      <c r="H330" s="40" t="s">
        <v>2289</v>
      </c>
      <c r="I330" s="40" t="s">
        <v>2290</v>
      </c>
      <c r="J330" s="40" t="s">
        <v>2291</v>
      </c>
      <c r="K330" s="41" t="s">
        <v>2292</v>
      </c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</row>
    <row r="331" ht="21.0" customHeight="1">
      <c r="A331" s="40">
        <v>330.0</v>
      </c>
      <c r="B331" s="40" t="s">
        <v>45</v>
      </c>
      <c r="C331" s="40" t="s">
        <v>2293</v>
      </c>
      <c r="D331" s="40" t="s">
        <v>2294</v>
      </c>
      <c r="E331" s="40" t="s">
        <v>2295</v>
      </c>
      <c r="F331" s="40" t="s">
        <v>2296</v>
      </c>
      <c r="G331" s="40" t="s">
        <v>2297</v>
      </c>
      <c r="H331" s="40" t="s">
        <v>2298</v>
      </c>
      <c r="I331" s="40" t="s">
        <v>2299</v>
      </c>
      <c r="J331" s="40" t="s">
        <v>2300</v>
      </c>
      <c r="K331" s="41" t="s">
        <v>2301</v>
      </c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</row>
    <row r="332" ht="21.0" customHeight="1">
      <c r="A332" s="40">
        <v>331.0</v>
      </c>
      <c r="B332" s="40" t="s">
        <v>45</v>
      </c>
      <c r="C332" s="40" t="s">
        <v>2302</v>
      </c>
      <c r="D332" s="40" t="s">
        <v>2294</v>
      </c>
      <c r="E332" s="40" t="s">
        <v>2295</v>
      </c>
      <c r="F332" s="40" t="s">
        <v>2303</v>
      </c>
      <c r="G332" s="40" t="s">
        <v>2304</v>
      </c>
      <c r="H332" s="40" t="s">
        <v>2305</v>
      </c>
      <c r="I332" s="40" t="s">
        <v>2306</v>
      </c>
      <c r="J332" s="40" t="s">
        <v>2307</v>
      </c>
      <c r="K332" s="41" t="s">
        <v>2308</v>
      </c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</row>
    <row r="333" ht="21.0" customHeight="1">
      <c r="A333" s="40">
        <v>332.0</v>
      </c>
      <c r="B333" s="40" t="s">
        <v>45</v>
      </c>
      <c r="C333" s="40" t="s">
        <v>2309</v>
      </c>
      <c r="D333" s="40" t="s">
        <v>2310</v>
      </c>
      <c r="E333" s="40" t="s">
        <v>2311</v>
      </c>
      <c r="F333" s="40" t="s">
        <v>2312</v>
      </c>
      <c r="G333" s="40" t="s">
        <v>2313</v>
      </c>
      <c r="H333" s="40" t="s">
        <v>2314</v>
      </c>
      <c r="I333" s="40" t="s">
        <v>2315</v>
      </c>
      <c r="J333" s="40"/>
      <c r="K333" s="41" t="s">
        <v>2316</v>
      </c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</row>
    <row r="334" ht="21.0" customHeight="1">
      <c r="A334" s="40">
        <v>333.0</v>
      </c>
      <c r="B334" s="40" t="s">
        <v>45</v>
      </c>
      <c r="C334" s="40" t="s">
        <v>2317</v>
      </c>
      <c r="D334" s="40" t="s">
        <v>2310</v>
      </c>
      <c r="E334" s="40" t="s">
        <v>461</v>
      </c>
      <c r="F334" s="40" t="s">
        <v>2318</v>
      </c>
      <c r="G334" s="40" t="s">
        <v>2319</v>
      </c>
      <c r="H334" s="40" t="s">
        <v>2320</v>
      </c>
      <c r="I334" s="40" t="s">
        <v>2321</v>
      </c>
      <c r="J334" s="40"/>
      <c r="K334" s="41" t="s">
        <v>2322</v>
      </c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</row>
    <row r="335" ht="21.0" customHeight="1">
      <c r="A335" s="40">
        <v>334.0</v>
      </c>
      <c r="B335" s="40"/>
      <c r="C335" s="40" t="s">
        <v>2323</v>
      </c>
      <c r="D335" s="40" t="s">
        <v>2324</v>
      </c>
      <c r="E335" s="40" t="s">
        <v>2325</v>
      </c>
      <c r="F335" s="40" t="s">
        <v>2326</v>
      </c>
      <c r="G335" s="51" t="s">
        <v>2327</v>
      </c>
      <c r="H335" s="40" t="s">
        <v>2328</v>
      </c>
      <c r="I335" s="40"/>
      <c r="J335" s="40" t="s">
        <v>328</v>
      </c>
      <c r="K335" s="41"/>
      <c r="L335" s="41"/>
      <c r="M335" s="41"/>
      <c r="N335" s="41"/>
      <c r="O335" s="41"/>
      <c r="P335" s="41"/>
      <c r="Q335" s="41"/>
      <c r="R335" s="42"/>
      <c r="S335" s="42"/>
      <c r="T335" s="42"/>
      <c r="U335" s="42"/>
      <c r="V335" s="42"/>
      <c r="W335" s="42"/>
      <c r="X335" s="42"/>
      <c r="Y335" s="42"/>
    </row>
    <row r="336" ht="21.0" customHeight="1">
      <c r="A336" s="40">
        <v>335.0</v>
      </c>
      <c r="B336" s="40" t="s">
        <v>45</v>
      </c>
      <c r="C336" s="40" t="s">
        <v>2329</v>
      </c>
      <c r="D336" s="40" t="s">
        <v>2324</v>
      </c>
      <c r="E336" s="40" t="s">
        <v>2330</v>
      </c>
      <c r="F336" s="40" t="s">
        <v>2331</v>
      </c>
      <c r="G336" s="40" t="s">
        <v>2332</v>
      </c>
      <c r="H336" s="40" t="s">
        <v>2333</v>
      </c>
      <c r="I336" s="40" t="s">
        <v>2334</v>
      </c>
      <c r="J336" s="40"/>
      <c r="K336" s="41" t="s">
        <v>2335</v>
      </c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</row>
    <row r="337" ht="21.0" customHeight="1">
      <c r="A337" s="40">
        <v>336.0</v>
      </c>
      <c r="B337" s="40" t="s">
        <v>47</v>
      </c>
      <c r="C337" s="40" t="s">
        <v>2336</v>
      </c>
      <c r="D337" s="40" t="s">
        <v>2337</v>
      </c>
      <c r="E337" s="40" t="s">
        <v>2338</v>
      </c>
      <c r="F337" s="40" t="s">
        <v>2339</v>
      </c>
      <c r="G337" s="40" t="s">
        <v>2340</v>
      </c>
      <c r="H337" s="40" t="s">
        <v>419</v>
      </c>
      <c r="I337" s="40" t="s">
        <v>420</v>
      </c>
      <c r="J337" s="40"/>
      <c r="K337" s="41" t="s">
        <v>2341</v>
      </c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</row>
    <row r="338" ht="21.0" customHeight="1">
      <c r="A338" s="40">
        <v>337.0</v>
      </c>
      <c r="B338" s="40" t="s">
        <v>47</v>
      </c>
      <c r="C338" s="40" t="s">
        <v>2342</v>
      </c>
      <c r="D338" s="40" t="s">
        <v>2337</v>
      </c>
      <c r="E338" s="40" t="s">
        <v>2338</v>
      </c>
      <c r="F338" s="40" t="s">
        <v>2343</v>
      </c>
      <c r="G338" s="40" t="s">
        <v>2344</v>
      </c>
      <c r="H338" s="40" t="s">
        <v>427</v>
      </c>
      <c r="I338" s="40" t="s">
        <v>428</v>
      </c>
      <c r="J338" s="40"/>
      <c r="K338" s="41" t="s">
        <v>2345</v>
      </c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</row>
    <row r="339" ht="21.0" customHeight="1">
      <c r="A339" s="40">
        <v>338.0</v>
      </c>
      <c r="B339" s="40" t="s">
        <v>47</v>
      </c>
      <c r="C339" s="40" t="s">
        <v>2346</v>
      </c>
      <c r="D339" s="40" t="s">
        <v>2337</v>
      </c>
      <c r="E339" s="40" t="s">
        <v>2338</v>
      </c>
      <c r="F339" s="40" t="s">
        <v>2347</v>
      </c>
      <c r="G339" s="40" t="s">
        <v>2348</v>
      </c>
      <c r="H339" s="40" t="s">
        <v>435</v>
      </c>
      <c r="I339" s="40" t="s">
        <v>436</v>
      </c>
      <c r="J339" s="40"/>
      <c r="K339" s="41" t="s">
        <v>2349</v>
      </c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</row>
    <row r="340" ht="21.0" customHeight="1">
      <c r="A340" s="40">
        <v>339.0</v>
      </c>
      <c r="B340" s="40" t="s">
        <v>47</v>
      </c>
      <c r="C340" s="40" t="s">
        <v>486</v>
      </c>
      <c r="D340" s="40"/>
      <c r="E340" s="40" t="s">
        <v>487</v>
      </c>
      <c r="F340" s="40" t="s">
        <v>2350</v>
      </c>
      <c r="G340" s="40" t="s">
        <v>2351</v>
      </c>
      <c r="H340" s="40" t="s">
        <v>2352</v>
      </c>
      <c r="I340" s="40" t="s">
        <v>2353</v>
      </c>
      <c r="J340" s="40"/>
      <c r="K340" s="41" t="s">
        <v>2354</v>
      </c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</row>
    <row r="341" ht="21.0" customHeight="1">
      <c r="A341" s="40">
        <v>340.0</v>
      </c>
      <c r="B341" s="40" t="s">
        <v>47</v>
      </c>
      <c r="C341" s="40" t="s">
        <v>491</v>
      </c>
      <c r="D341" s="40"/>
      <c r="E341" s="40" t="s">
        <v>492</v>
      </c>
      <c r="F341" s="40" t="s">
        <v>2355</v>
      </c>
      <c r="G341" s="40" t="s">
        <v>2356</v>
      </c>
      <c r="H341" s="40" t="s">
        <v>2357</v>
      </c>
      <c r="I341" s="40" t="s">
        <v>2358</v>
      </c>
      <c r="J341" s="40"/>
      <c r="K341" s="41" t="s">
        <v>2359</v>
      </c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</row>
    <row r="342" ht="21.0" customHeight="1">
      <c r="A342" s="40">
        <v>341.0</v>
      </c>
      <c r="B342" s="40" t="s">
        <v>47</v>
      </c>
      <c r="C342" s="40" t="s">
        <v>496</v>
      </c>
      <c r="D342" s="40"/>
      <c r="E342" s="40" t="s">
        <v>497</v>
      </c>
      <c r="F342" s="40" t="s">
        <v>2360</v>
      </c>
      <c r="G342" s="40" t="s">
        <v>499</v>
      </c>
      <c r="H342" s="40" t="s">
        <v>2361</v>
      </c>
      <c r="I342" s="40" t="s">
        <v>2362</v>
      </c>
      <c r="J342" s="40"/>
      <c r="K342" s="41" t="s">
        <v>2363</v>
      </c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</row>
    <row r="343" ht="21.0" customHeight="1">
      <c r="A343" s="40">
        <v>342.0</v>
      </c>
      <c r="B343" s="40" t="s">
        <v>49</v>
      </c>
      <c r="C343" s="40" t="s">
        <v>2364</v>
      </c>
      <c r="D343" s="40" t="s">
        <v>2365</v>
      </c>
      <c r="E343" s="40" t="s">
        <v>2366</v>
      </c>
      <c r="F343" s="40" t="s">
        <v>2367</v>
      </c>
      <c r="G343" s="40" t="s">
        <v>2368</v>
      </c>
      <c r="H343" s="40" t="s">
        <v>2369</v>
      </c>
      <c r="I343" s="40" t="s">
        <v>2370</v>
      </c>
      <c r="J343" s="40"/>
      <c r="K343" s="41" t="s">
        <v>2371</v>
      </c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</row>
    <row r="344" ht="21.0" customHeight="1">
      <c r="A344" s="40">
        <v>343.0</v>
      </c>
      <c r="B344" s="40" t="s">
        <v>49</v>
      </c>
      <c r="C344" s="40" t="s">
        <v>2372</v>
      </c>
      <c r="D344" s="40" t="s">
        <v>2365</v>
      </c>
      <c r="E344" s="40" t="s">
        <v>2373</v>
      </c>
      <c r="F344" s="40" t="s">
        <v>2374</v>
      </c>
      <c r="G344" s="40" t="s">
        <v>2375</v>
      </c>
      <c r="H344" s="40" t="s">
        <v>2376</v>
      </c>
      <c r="I344" s="40" t="s">
        <v>2377</v>
      </c>
      <c r="J344" s="40"/>
      <c r="K344" s="41" t="s">
        <v>2378</v>
      </c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</row>
    <row r="345" ht="21.0" customHeight="1">
      <c r="A345" s="40">
        <v>344.0</v>
      </c>
      <c r="B345" s="40" t="s">
        <v>49</v>
      </c>
      <c r="C345" s="40" t="s">
        <v>2379</v>
      </c>
      <c r="D345" s="40" t="s">
        <v>2380</v>
      </c>
      <c r="E345" s="40" t="s">
        <v>2381</v>
      </c>
      <c r="F345" s="40" t="s">
        <v>2382</v>
      </c>
      <c r="G345" s="40" t="s">
        <v>2383</v>
      </c>
      <c r="H345" s="40" t="s">
        <v>2384</v>
      </c>
      <c r="I345" s="40" t="s">
        <v>2385</v>
      </c>
      <c r="J345" s="40"/>
      <c r="K345" s="41" t="s">
        <v>2386</v>
      </c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</row>
    <row r="346" ht="21.0" customHeight="1">
      <c r="A346" s="40">
        <v>345.0</v>
      </c>
      <c r="B346" s="40" t="s">
        <v>49</v>
      </c>
      <c r="C346" s="40" t="s">
        <v>2387</v>
      </c>
      <c r="D346" s="40" t="s">
        <v>2380</v>
      </c>
      <c r="E346" s="40" t="s">
        <v>2388</v>
      </c>
      <c r="F346" s="40" t="s">
        <v>2389</v>
      </c>
      <c r="G346" s="40" t="s">
        <v>2390</v>
      </c>
      <c r="H346" s="40" t="s">
        <v>2391</v>
      </c>
      <c r="I346" s="40" t="s">
        <v>2392</v>
      </c>
      <c r="J346" s="40"/>
      <c r="K346" s="41" t="s">
        <v>2393</v>
      </c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</row>
    <row r="347" ht="21.0" customHeight="1">
      <c r="A347" s="40">
        <v>346.0</v>
      </c>
      <c r="B347" s="40" t="s">
        <v>49</v>
      </c>
      <c r="C347" s="40" t="s">
        <v>2394</v>
      </c>
      <c r="D347" s="40"/>
      <c r="E347" s="40" t="s">
        <v>2395</v>
      </c>
      <c r="F347" s="40" t="s">
        <v>2396</v>
      </c>
      <c r="G347" s="40" t="s">
        <v>2397</v>
      </c>
      <c r="H347" s="40" t="s">
        <v>2398</v>
      </c>
      <c r="I347" s="40" t="s">
        <v>2399</v>
      </c>
      <c r="J347" s="40"/>
      <c r="K347" s="41" t="s">
        <v>2400</v>
      </c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</row>
    <row r="348" ht="21.0" customHeight="1">
      <c r="A348" s="40">
        <v>347.0</v>
      </c>
      <c r="B348" s="40" t="s">
        <v>49</v>
      </c>
      <c r="C348" s="40" t="s">
        <v>2401</v>
      </c>
      <c r="D348" s="40" t="s">
        <v>2402</v>
      </c>
      <c r="E348" s="40" t="s">
        <v>2403</v>
      </c>
      <c r="F348" s="40" t="s">
        <v>2404</v>
      </c>
      <c r="G348" s="40" t="s">
        <v>2405</v>
      </c>
      <c r="H348" s="40" t="s">
        <v>2406</v>
      </c>
      <c r="I348" s="40" t="s">
        <v>2407</v>
      </c>
      <c r="J348" s="40" t="s">
        <v>2408</v>
      </c>
      <c r="K348" s="41" t="s">
        <v>2409</v>
      </c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</row>
    <row r="349" ht="21.0" customHeight="1">
      <c r="A349" s="40">
        <v>348.0</v>
      </c>
      <c r="B349" s="40" t="s">
        <v>49</v>
      </c>
      <c r="C349" s="40" t="s">
        <v>2410</v>
      </c>
      <c r="D349" s="40" t="s">
        <v>2402</v>
      </c>
      <c r="E349" s="40" t="s">
        <v>2411</v>
      </c>
      <c r="F349" s="40" t="s">
        <v>2412</v>
      </c>
      <c r="G349" s="40" t="s">
        <v>2413</v>
      </c>
      <c r="H349" s="40" t="s">
        <v>2414</v>
      </c>
      <c r="I349" s="40" t="s">
        <v>2415</v>
      </c>
      <c r="J349" s="40"/>
      <c r="K349" s="41" t="s">
        <v>2416</v>
      </c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</row>
    <row r="350" ht="21.0" customHeight="1">
      <c r="A350" s="40">
        <v>349.0</v>
      </c>
      <c r="B350" s="40" t="s">
        <v>49</v>
      </c>
      <c r="C350" s="40" t="s">
        <v>2417</v>
      </c>
      <c r="D350" s="40" t="s">
        <v>2402</v>
      </c>
      <c r="E350" s="40" t="s">
        <v>2418</v>
      </c>
      <c r="F350" s="40" t="s">
        <v>2419</v>
      </c>
      <c r="G350" s="40" t="s">
        <v>2420</v>
      </c>
      <c r="H350" s="40" t="s">
        <v>2421</v>
      </c>
      <c r="I350" s="40" t="s">
        <v>2422</v>
      </c>
      <c r="J350" s="40"/>
      <c r="K350" s="41" t="s">
        <v>2423</v>
      </c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</row>
    <row r="351" ht="21.0" customHeight="1">
      <c r="A351" s="40">
        <v>350.0</v>
      </c>
      <c r="B351" s="40" t="s">
        <v>49</v>
      </c>
      <c r="C351" s="40" t="s">
        <v>2424</v>
      </c>
      <c r="D351" s="40"/>
      <c r="E351" s="40" t="s">
        <v>2425</v>
      </c>
      <c r="F351" s="40" t="s">
        <v>2426</v>
      </c>
      <c r="G351" s="40" t="s">
        <v>2427</v>
      </c>
      <c r="H351" s="40" t="s">
        <v>2428</v>
      </c>
      <c r="I351" s="40" t="s">
        <v>2429</v>
      </c>
      <c r="J351" s="40"/>
      <c r="K351" s="41" t="s">
        <v>2430</v>
      </c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</row>
    <row r="352" ht="21.0" customHeight="1">
      <c r="A352" s="40">
        <v>351.0</v>
      </c>
      <c r="B352" s="40" t="s">
        <v>49</v>
      </c>
      <c r="C352" s="40" t="s">
        <v>2431</v>
      </c>
      <c r="D352" s="40"/>
      <c r="E352" s="40" t="s">
        <v>2432</v>
      </c>
      <c r="F352" s="40" t="s">
        <v>2433</v>
      </c>
      <c r="G352" s="40" t="s">
        <v>2434</v>
      </c>
      <c r="H352" s="40" t="s">
        <v>2435</v>
      </c>
      <c r="I352" s="40" t="s">
        <v>2436</v>
      </c>
      <c r="J352" s="40" t="s">
        <v>2408</v>
      </c>
      <c r="K352" s="41" t="s">
        <v>2437</v>
      </c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</row>
    <row r="353" ht="21.0" customHeight="1">
      <c r="A353" s="40">
        <v>352.0</v>
      </c>
      <c r="B353" s="40" t="s">
        <v>49</v>
      </c>
      <c r="C353" s="40" t="s">
        <v>2438</v>
      </c>
      <c r="D353" s="40" t="s">
        <v>2439</v>
      </c>
      <c r="E353" s="40" t="s">
        <v>2440</v>
      </c>
      <c r="F353" s="40" t="s">
        <v>2441</v>
      </c>
      <c r="G353" s="40" t="s">
        <v>2442</v>
      </c>
      <c r="H353" s="40" t="s">
        <v>2443</v>
      </c>
      <c r="I353" s="40" t="s">
        <v>2444</v>
      </c>
      <c r="J353" s="40" t="s">
        <v>2408</v>
      </c>
      <c r="K353" s="41" t="s">
        <v>2445</v>
      </c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</row>
    <row r="354" ht="21.0" customHeight="1">
      <c r="A354" s="40">
        <v>353.0</v>
      </c>
      <c r="B354" s="40" t="s">
        <v>49</v>
      </c>
      <c r="C354" s="40" t="s">
        <v>2446</v>
      </c>
      <c r="D354" s="40" t="s">
        <v>2439</v>
      </c>
      <c r="E354" s="40" t="s">
        <v>2447</v>
      </c>
      <c r="F354" s="40" t="s">
        <v>2448</v>
      </c>
      <c r="G354" s="40" t="s">
        <v>2449</v>
      </c>
      <c r="H354" s="40" t="s">
        <v>2450</v>
      </c>
      <c r="I354" s="40" t="s">
        <v>2451</v>
      </c>
      <c r="J354" s="40" t="s">
        <v>2408</v>
      </c>
      <c r="K354" s="41" t="s">
        <v>2452</v>
      </c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</row>
    <row r="355" ht="21.0" customHeight="1">
      <c r="A355" s="40">
        <v>354.0</v>
      </c>
      <c r="B355" s="40" t="s">
        <v>49</v>
      </c>
      <c r="C355" s="40" t="s">
        <v>2453</v>
      </c>
      <c r="D355" s="40" t="s">
        <v>2439</v>
      </c>
      <c r="E355" s="40" t="s">
        <v>2454</v>
      </c>
      <c r="F355" s="40" t="s">
        <v>2455</v>
      </c>
      <c r="G355" s="40" t="s">
        <v>2456</v>
      </c>
      <c r="H355" s="40" t="s">
        <v>2457</v>
      </c>
      <c r="I355" s="40" t="s">
        <v>2458</v>
      </c>
      <c r="J355" s="40" t="s">
        <v>2459</v>
      </c>
      <c r="K355" s="41" t="s">
        <v>2460</v>
      </c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</row>
    <row r="356" ht="21.0" customHeight="1">
      <c r="A356" s="40">
        <v>355.0</v>
      </c>
      <c r="B356" s="40" t="s">
        <v>49</v>
      </c>
      <c r="C356" s="40" t="s">
        <v>2461</v>
      </c>
      <c r="D356" s="40" t="s">
        <v>2462</v>
      </c>
      <c r="E356" s="40" t="s">
        <v>2463</v>
      </c>
      <c r="F356" s="40" t="s">
        <v>2464</v>
      </c>
      <c r="G356" s="40" t="s">
        <v>2465</v>
      </c>
      <c r="H356" s="40" t="s">
        <v>2466</v>
      </c>
      <c r="I356" s="40" t="s">
        <v>2467</v>
      </c>
      <c r="J356" s="40" t="s">
        <v>2408</v>
      </c>
      <c r="K356" s="41" t="s">
        <v>2468</v>
      </c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</row>
    <row r="357" ht="21.0" customHeight="1">
      <c r="A357" s="40">
        <v>356.0</v>
      </c>
      <c r="B357" s="40" t="s">
        <v>49</v>
      </c>
      <c r="C357" s="40" t="s">
        <v>2469</v>
      </c>
      <c r="D357" s="40" t="s">
        <v>2462</v>
      </c>
      <c r="E357" s="40" t="s">
        <v>2470</v>
      </c>
      <c r="F357" s="40" t="s">
        <v>2471</v>
      </c>
      <c r="G357" s="40" t="s">
        <v>2472</v>
      </c>
      <c r="H357" s="40" t="s">
        <v>2473</v>
      </c>
      <c r="I357" s="40" t="s">
        <v>2474</v>
      </c>
      <c r="J357" s="40" t="s">
        <v>2408</v>
      </c>
      <c r="K357" s="41" t="s">
        <v>2475</v>
      </c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</row>
    <row r="358" ht="21.0" customHeight="1">
      <c r="A358" s="40">
        <v>357.0</v>
      </c>
      <c r="B358" s="40" t="s">
        <v>49</v>
      </c>
      <c r="C358" s="40" t="s">
        <v>2476</v>
      </c>
      <c r="D358" s="40"/>
      <c r="E358" s="40" t="s">
        <v>2477</v>
      </c>
      <c r="F358" s="40" t="s">
        <v>2478</v>
      </c>
      <c r="G358" s="40" t="s">
        <v>2479</v>
      </c>
      <c r="H358" s="40" t="s">
        <v>2480</v>
      </c>
      <c r="I358" s="40" t="s">
        <v>2481</v>
      </c>
      <c r="J358" s="40" t="s">
        <v>2408</v>
      </c>
      <c r="K358" s="41" t="s">
        <v>2482</v>
      </c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</row>
    <row r="359" ht="21.0" customHeight="1">
      <c r="A359" s="40">
        <v>358.0</v>
      </c>
      <c r="B359" s="40" t="s">
        <v>49</v>
      </c>
      <c r="C359" s="40" t="s">
        <v>2483</v>
      </c>
      <c r="D359" s="40" t="s">
        <v>2484</v>
      </c>
      <c r="E359" s="40" t="s">
        <v>2485</v>
      </c>
      <c r="F359" s="40" t="s">
        <v>2486</v>
      </c>
      <c r="G359" s="40" t="s">
        <v>2487</v>
      </c>
      <c r="H359" s="40" t="s">
        <v>2488</v>
      </c>
      <c r="I359" s="40" t="s">
        <v>2489</v>
      </c>
      <c r="J359" s="40"/>
      <c r="K359" s="41" t="s">
        <v>2490</v>
      </c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</row>
    <row r="360" ht="21.0" customHeight="1">
      <c r="A360" s="40">
        <v>359.0</v>
      </c>
      <c r="B360" s="40" t="s">
        <v>49</v>
      </c>
      <c r="C360" s="40" t="s">
        <v>2491</v>
      </c>
      <c r="D360" s="40" t="s">
        <v>2484</v>
      </c>
      <c r="E360" s="40" t="s">
        <v>2492</v>
      </c>
      <c r="F360" s="40" t="s">
        <v>2493</v>
      </c>
      <c r="G360" s="40" t="s">
        <v>2494</v>
      </c>
      <c r="H360" s="40" t="s">
        <v>2495</v>
      </c>
      <c r="I360" s="40" t="s">
        <v>2496</v>
      </c>
      <c r="J360" s="40"/>
      <c r="K360" s="41" t="s">
        <v>2497</v>
      </c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</row>
    <row r="361" ht="21.0" customHeight="1">
      <c r="A361" s="40">
        <v>360.0</v>
      </c>
      <c r="B361" s="40" t="s">
        <v>49</v>
      </c>
      <c r="C361" s="40" t="s">
        <v>2498</v>
      </c>
      <c r="D361" s="40" t="s">
        <v>2499</v>
      </c>
      <c r="E361" s="40" t="s">
        <v>2500</v>
      </c>
      <c r="F361" s="40" t="s">
        <v>2501</v>
      </c>
      <c r="G361" s="40" t="s">
        <v>2502</v>
      </c>
      <c r="H361" s="40" t="s">
        <v>2503</v>
      </c>
      <c r="I361" s="40" t="s">
        <v>2504</v>
      </c>
      <c r="J361" s="40"/>
      <c r="K361" s="41" t="s">
        <v>2505</v>
      </c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</row>
    <row r="362" ht="21.0" customHeight="1">
      <c r="A362" s="40">
        <v>361.0</v>
      </c>
      <c r="B362" s="40" t="s">
        <v>49</v>
      </c>
      <c r="C362" s="40" t="s">
        <v>2506</v>
      </c>
      <c r="D362" s="40" t="s">
        <v>2499</v>
      </c>
      <c r="E362" s="40" t="s">
        <v>2500</v>
      </c>
      <c r="F362" s="40" t="s">
        <v>2507</v>
      </c>
      <c r="G362" s="40" t="s">
        <v>2508</v>
      </c>
      <c r="H362" s="40" t="s">
        <v>2509</v>
      </c>
      <c r="I362" s="40" t="s">
        <v>2510</v>
      </c>
      <c r="J362" s="40"/>
      <c r="K362" s="41" t="s">
        <v>2511</v>
      </c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</row>
    <row r="363" ht="21.0" customHeight="1">
      <c r="A363" s="40">
        <v>362.0</v>
      </c>
      <c r="B363" s="40" t="s">
        <v>49</v>
      </c>
      <c r="C363" s="40" t="s">
        <v>2512</v>
      </c>
      <c r="D363" s="40" t="s">
        <v>2499</v>
      </c>
      <c r="E363" s="40" t="s">
        <v>2500</v>
      </c>
      <c r="F363" s="40" t="s">
        <v>2513</v>
      </c>
      <c r="G363" s="40" t="s">
        <v>2514</v>
      </c>
      <c r="H363" s="40" t="s">
        <v>2515</v>
      </c>
      <c r="I363" s="40" t="s">
        <v>2516</v>
      </c>
      <c r="J363" s="40" t="s">
        <v>2408</v>
      </c>
      <c r="K363" s="41" t="s">
        <v>2517</v>
      </c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</row>
    <row r="364" ht="21.0" customHeight="1">
      <c r="A364" s="40">
        <v>363.0</v>
      </c>
      <c r="B364" s="40" t="s">
        <v>49</v>
      </c>
      <c r="C364" s="40" t="s">
        <v>2518</v>
      </c>
      <c r="D364" s="40" t="s">
        <v>2519</v>
      </c>
      <c r="E364" s="40" t="s">
        <v>2520</v>
      </c>
      <c r="F364" s="40" t="s">
        <v>2521</v>
      </c>
      <c r="G364" s="40" t="s">
        <v>2522</v>
      </c>
      <c r="H364" s="40" t="s">
        <v>2523</v>
      </c>
      <c r="I364" s="40" t="s">
        <v>2524</v>
      </c>
      <c r="J364" s="40" t="s">
        <v>2408</v>
      </c>
      <c r="K364" s="41" t="s">
        <v>2525</v>
      </c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</row>
    <row r="365" ht="21.0" customHeight="1">
      <c r="A365" s="40">
        <v>364.0</v>
      </c>
      <c r="B365" s="40" t="s">
        <v>49</v>
      </c>
      <c r="C365" s="40" t="s">
        <v>2526</v>
      </c>
      <c r="D365" s="40" t="s">
        <v>2519</v>
      </c>
      <c r="E365" s="40" t="s">
        <v>2286</v>
      </c>
      <c r="F365" s="40" t="s">
        <v>2527</v>
      </c>
      <c r="G365" s="40" t="s">
        <v>2528</v>
      </c>
      <c r="H365" s="40" t="s">
        <v>2529</v>
      </c>
      <c r="I365" s="40" t="s">
        <v>2530</v>
      </c>
      <c r="J365" s="40"/>
      <c r="K365" s="41" t="s">
        <v>2531</v>
      </c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</row>
    <row r="366" ht="21.0" customHeight="1">
      <c r="A366" s="40">
        <v>365.0</v>
      </c>
      <c r="B366" s="40" t="s">
        <v>49</v>
      </c>
      <c r="C366" s="40" t="s">
        <v>2532</v>
      </c>
      <c r="D366" s="40" t="s">
        <v>2519</v>
      </c>
      <c r="E366" s="40" t="s">
        <v>2533</v>
      </c>
      <c r="F366" s="40" t="s">
        <v>2534</v>
      </c>
      <c r="G366" s="40" t="s">
        <v>2535</v>
      </c>
      <c r="H366" s="40" t="s">
        <v>2536</v>
      </c>
      <c r="I366" s="40" t="s">
        <v>2537</v>
      </c>
      <c r="J366" s="40"/>
      <c r="K366" s="41" t="s">
        <v>2538</v>
      </c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</row>
    <row r="367" ht="21.0" customHeight="1">
      <c r="A367" s="40">
        <v>366.0</v>
      </c>
      <c r="B367" s="40" t="s">
        <v>49</v>
      </c>
      <c r="C367" s="40" t="s">
        <v>2539</v>
      </c>
      <c r="D367" s="40" t="s">
        <v>2519</v>
      </c>
      <c r="E367" s="40" t="s">
        <v>2540</v>
      </c>
      <c r="F367" s="40" t="s">
        <v>2541</v>
      </c>
      <c r="G367" s="40" t="s">
        <v>2542</v>
      </c>
      <c r="H367" s="40" t="s">
        <v>2543</v>
      </c>
      <c r="I367" s="40" t="s">
        <v>2544</v>
      </c>
      <c r="J367" s="40"/>
      <c r="K367" s="41" t="s">
        <v>2545</v>
      </c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</row>
    <row r="368" ht="21.0" customHeight="1">
      <c r="A368" s="40">
        <v>367.0</v>
      </c>
      <c r="B368" s="40" t="s">
        <v>49</v>
      </c>
      <c r="C368" s="40" t="s">
        <v>2546</v>
      </c>
      <c r="D368" s="40"/>
      <c r="E368" s="40" t="s">
        <v>2547</v>
      </c>
      <c r="F368" s="40" t="s">
        <v>2548</v>
      </c>
      <c r="G368" s="40" t="s">
        <v>2549</v>
      </c>
      <c r="H368" s="40" t="s">
        <v>2550</v>
      </c>
      <c r="I368" s="40" t="s">
        <v>2551</v>
      </c>
      <c r="J368" s="40"/>
      <c r="K368" s="41" t="s">
        <v>2552</v>
      </c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</row>
    <row r="369" ht="21.0" customHeight="1">
      <c r="A369" s="40">
        <v>368.0</v>
      </c>
      <c r="B369" s="40" t="s">
        <v>49</v>
      </c>
      <c r="C369" s="40" t="s">
        <v>2553</v>
      </c>
      <c r="D369" s="40" t="s">
        <v>2554</v>
      </c>
      <c r="E369" s="40" t="s">
        <v>2555</v>
      </c>
      <c r="F369" s="40" t="s">
        <v>2556</v>
      </c>
      <c r="G369" s="40" t="s">
        <v>2557</v>
      </c>
      <c r="H369" s="40" t="s">
        <v>2558</v>
      </c>
      <c r="I369" s="40" t="s">
        <v>2559</v>
      </c>
      <c r="J369" s="40"/>
      <c r="K369" s="41" t="s">
        <v>2560</v>
      </c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</row>
    <row r="370" ht="21.0" customHeight="1">
      <c r="A370" s="40">
        <v>369.0</v>
      </c>
      <c r="B370" s="40" t="s">
        <v>49</v>
      </c>
      <c r="C370" s="40" t="s">
        <v>2561</v>
      </c>
      <c r="D370" s="40" t="s">
        <v>2554</v>
      </c>
      <c r="E370" s="40" t="s">
        <v>2562</v>
      </c>
      <c r="F370" s="40" t="s">
        <v>2563</v>
      </c>
      <c r="G370" s="40" t="s">
        <v>2564</v>
      </c>
      <c r="H370" s="40" t="s">
        <v>2565</v>
      </c>
      <c r="I370" s="40" t="s">
        <v>2566</v>
      </c>
      <c r="J370" s="40"/>
      <c r="K370" s="41" t="s">
        <v>2567</v>
      </c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</row>
    <row r="371" ht="21.0" customHeight="1">
      <c r="A371" s="40">
        <v>370.0</v>
      </c>
      <c r="B371" s="40" t="s">
        <v>49</v>
      </c>
      <c r="C371" s="40" t="s">
        <v>2568</v>
      </c>
      <c r="D371" s="40" t="s">
        <v>2554</v>
      </c>
      <c r="E371" s="40" t="s">
        <v>2569</v>
      </c>
      <c r="F371" s="40" t="s">
        <v>2570</v>
      </c>
      <c r="G371" s="40" t="s">
        <v>2571</v>
      </c>
      <c r="H371" s="40" t="s">
        <v>2572</v>
      </c>
      <c r="I371" s="40" t="s">
        <v>2573</v>
      </c>
      <c r="J371" s="40" t="s">
        <v>2408</v>
      </c>
      <c r="K371" s="41" t="s">
        <v>2574</v>
      </c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</row>
    <row r="372" ht="21.0" customHeight="1">
      <c r="A372" s="40">
        <v>371.0</v>
      </c>
      <c r="B372" s="40" t="s">
        <v>49</v>
      </c>
      <c r="C372" s="40" t="s">
        <v>2575</v>
      </c>
      <c r="D372" s="40" t="s">
        <v>2576</v>
      </c>
      <c r="E372" s="40" t="s">
        <v>2577</v>
      </c>
      <c r="F372" s="40" t="s">
        <v>2578</v>
      </c>
      <c r="G372" s="40" t="s">
        <v>2579</v>
      </c>
      <c r="H372" s="40" t="s">
        <v>2580</v>
      </c>
      <c r="I372" s="40" t="s">
        <v>2581</v>
      </c>
      <c r="J372" s="40"/>
      <c r="K372" s="41" t="s">
        <v>2582</v>
      </c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</row>
    <row r="373" ht="21.0" customHeight="1">
      <c r="A373" s="40">
        <v>372.0</v>
      </c>
      <c r="B373" s="40" t="s">
        <v>49</v>
      </c>
      <c r="C373" s="40" t="s">
        <v>2583</v>
      </c>
      <c r="D373" s="40" t="s">
        <v>2576</v>
      </c>
      <c r="E373" s="40" t="s">
        <v>2584</v>
      </c>
      <c r="F373" s="40" t="s">
        <v>2585</v>
      </c>
      <c r="G373" s="40" t="s">
        <v>2586</v>
      </c>
      <c r="H373" s="40" t="s">
        <v>2587</v>
      </c>
      <c r="I373" s="40" t="s">
        <v>2588</v>
      </c>
      <c r="J373" s="40"/>
      <c r="K373" s="41" t="s">
        <v>2589</v>
      </c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</row>
    <row r="374" ht="21.0" customHeight="1">
      <c r="A374" s="40">
        <v>373.0</v>
      </c>
      <c r="B374" s="40" t="s">
        <v>49</v>
      </c>
      <c r="C374" s="40" t="s">
        <v>2590</v>
      </c>
      <c r="D374" s="40"/>
      <c r="E374" s="40" t="s">
        <v>2591</v>
      </c>
      <c r="F374" s="40" t="s">
        <v>2592</v>
      </c>
      <c r="G374" s="40" t="s">
        <v>2593</v>
      </c>
      <c r="H374" s="40" t="s">
        <v>2594</v>
      </c>
      <c r="I374" s="40" t="s">
        <v>2595</v>
      </c>
      <c r="J374" s="40" t="s">
        <v>2408</v>
      </c>
      <c r="K374" s="41" t="s">
        <v>2596</v>
      </c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</row>
    <row r="375" ht="21.0" customHeight="1">
      <c r="A375" s="40">
        <v>374.0</v>
      </c>
      <c r="B375" s="40" t="s">
        <v>49</v>
      </c>
      <c r="C375" s="40" t="s">
        <v>2597</v>
      </c>
      <c r="D375" s="40"/>
      <c r="E375" s="40" t="s">
        <v>2598</v>
      </c>
      <c r="F375" s="40" t="s">
        <v>2599</v>
      </c>
      <c r="G375" s="40" t="s">
        <v>2600</v>
      </c>
      <c r="H375" s="40" t="s">
        <v>2601</v>
      </c>
      <c r="I375" s="40" t="s">
        <v>2602</v>
      </c>
      <c r="J375" s="40" t="s">
        <v>2408</v>
      </c>
      <c r="K375" s="41" t="s">
        <v>2603</v>
      </c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</row>
    <row r="376" ht="21.0" customHeight="1">
      <c r="A376" s="40">
        <v>375.0</v>
      </c>
      <c r="B376" s="40" t="s">
        <v>49</v>
      </c>
      <c r="C376" s="40" t="s">
        <v>2604</v>
      </c>
      <c r="D376" s="40" t="s">
        <v>2605</v>
      </c>
      <c r="E376" s="40" t="s">
        <v>2606</v>
      </c>
      <c r="F376" s="40" t="s">
        <v>2607</v>
      </c>
      <c r="G376" s="40" t="s">
        <v>2608</v>
      </c>
      <c r="H376" s="40" t="s">
        <v>2609</v>
      </c>
      <c r="I376" s="40" t="s">
        <v>2610</v>
      </c>
      <c r="J376" s="40"/>
      <c r="K376" s="41" t="s">
        <v>2611</v>
      </c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</row>
    <row r="377" ht="21.0" customHeight="1">
      <c r="A377" s="40">
        <v>376.0</v>
      </c>
      <c r="B377" s="40" t="s">
        <v>49</v>
      </c>
      <c r="C377" s="40" t="s">
        <v>2612</v>
      </c>
      <c r="D377" s="40" t="s">
        <v>2605</v>
      </c>
      <c r="E377" s="40" t="s">
        <v>2613</v>
      </c>
      <c r="F377" s="40" t="s">
        <v>2614</v>
      </c>
      <c r="G377" s="40" t="s">
        <v>2615</v>
      </c>
      <c r="H377" s="40" t="s">
        <v>2616</v>
      </c>
      <c r="I377" s="40" t="s">
        <v>2617</v>
      </c>
      <c r="J377" s="40"/>
      <c r="K377" s="41" t="s">
        <v>2618</v>
      </c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</row>
    <row r="378" ht="21.0" customHeight="1">
      <c r="A378" s="40">
        <v>377.0</v>
      </c>
      <c r="B378" s="40" t="s">
        <v>49</v>
      </c>
      <c r="C378" s="40" t="s">
        <v>2619</v>
      </c>
      <c r="D378" s="40" t="s">
        <v>2620</v>
      </c>
      <c r="E378" s="40" t="s">
        <v>2621</v>
      </c>
      <c r="F378" s="40" t="s">
        <v>2622</v>
      </c>
      <c r="G378" s="40" t="s">
        <v>2623</v>
      </c>
      <c r="H378" s="40" t="s">
        <v>2624</v>
      </c>
      <c r="I378" s="40" t="s">
        <v>2625</v>
      </c>
      <c r="J378" s="40"/>
      <c r="K378" s="41" t="s">
        <v>2626</v>
      </c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</row>
    <row r="379" ht="21.0" customHeight="1">
      <c r="A379" s="40">
        <v>378.0</v>
      </c>
      <c r="B379" s="40" t="s">
        <v>49</v>
      </c>
      <c r="C379" s="40" t="s">
        <v>2627</v>
      </c>
      <c r="D379" s="40" t="s">
        <v>2620</v>
      </c>
      <c r="E379" s="40" t="s">
        <v>2628</v>
      </c>
      <c r="F379" s="40" t="s">
        <v>2629</v>
      </c>
      <c r="G379" s="40" t="s">
        <v>2630</v>
      </c>
      <c r="H379" s="40" t="s">
        <v>2631</v>
      </c>
      <c r="I379" s="40" t="s">
        <v>2632</v>
      </c>
      <c r="J379" s="40"/>
      <c r="K379" s="41" t="s">
        <v>2633</v>
      </c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</row>
    <row r="380" ht="21.0" customHeight="1">
      <c r="A380" s="40">
        <v>379.0</v>
      </c>
      <c r="B380" s="40" t="s">
        <v>49</v>
      </c>
      <c r="C380" s="40" t="s">
        <v>2634</v>
      </c>
      <c r="D380" s="40" t="s">
        <v>2620</v>
      </c>
      <c r="E380" s="40" t="s">
        <v>2635</v>
      </c>
      <c r="F380" s="40" t="s">
        <v>2636</v>
      </c>
      <c r="G380" s="40" t="s">
        <v>2637</v>
      </c>
      <c r="H380" s="40" t="s">
        <v>2638</v>
      </c>
      <c r="I380" s="40" t="s">
        <v>2639</v>
      </c>
      <c r="J380" s="40" t="s">
        <v>2408</v>
      </c>
      <c r="K380" s="41" t="s">
        <v>2640</v>
      </c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</row>
    <row r="381" ht="21.0" customHeight="1">
      <c r="A381" s="40">
        <v>380.0</v>
      </c>
      <c r="B381" s="40" t="s">
        <v>49</v>
      </c>
      <c r="C381" s="40" t="s">
        <v>2641</v>
      </c>
      <c r="D381" s="40" t="s">
        <v>2324</v>
      </c>
      <c r="E381" s="40" t="s">
        <v>2642</v>
      </c>
      <c r="F381" s="40" t="s">
        <v>2643</v>
      </c>
      <c r="G381" s="51" t="s">
        <v>2644</v>
      </c>
      <c r="H381" s="40" t="s">
        <v>2645</v>
      </c>
      <c r="I381" s="40"/>
      <c r="J381" s="40" t="s">
        <v>328</v>
      </c>
      <c r="K381" s="41"/>
      <c r="L381" s="41"/>
      <c r="M381" s="41"/>
      <c r="N381" s="41"/>
      <c r="O381" s="41"/>
      <c r="P381" s="41"/>
      <c r="Q381" s="41"/>
      <c r="R381" s="42"/>
      <c r="S381" s="42"/>
      <c r="T381" s="42"/>
      <c r="U381" s="42"/>
      <c r="V381" s="42"/>
      <c r="W381" s="42"/>
      <c r="X381" s="42"/>
      <c r="Y381" s="42"/>
    </row>
    <row r="382" ht="21.0" customHeight="1">
      <c r="A382" s="40">
        <v>381.0</v>
      </c>
      <c r="B382" s="40" t="s">
        <v>49</v>
      </c>
      <c r="C382" s="40" t="s">
        <v>2646</v>
      </c>
      <c r="D382" s="40" t="s">
        <v>2324</v>
      </c>
      <c r="E382" s="40" t="s">
        <v>2642</v>
      </c>
      <c r="F382" s="40" t="s">
        <v>2647</v>
      </c>
      <c r="G382" s="51" t="s">
        <v>2648</v>
      </c>
      <c r="H382" s="40" t="s">
        <v>2649</v>
      </c>
      <c r="I382" s="40"/>
      <c r="J382" s="40" t="s">
        <v>328</v>
      </c>
      <c r="K382" s="41"/>
      <c r="L382" s="41"/>
      <c r="M382" s="41"/>
      <c r="N382" s="41"/>
      <c r="O382" s="41"/>
      <c r="P382" s="41"/>
      <c r="Q382" s="41"/>
      <c r="R382" s="42"/>
      <c r="S382" s="42"/>
      <c r="T382" s="42"/>
      <c r="U382" s="42"/>
      <c r="V382" s="42"/>
      <c r="W382" s="42"/>
      <c r="X382" s="42"/>
      <c r="Y382" s="42"/>
    </row>
    <row r="383" ht="21.0" customHeight="1">
      <c r="A383" s="40">
        <v>382.0</v>
      </c>
      <c r="B383" s="40" t="s">
        <v>49</v>
      </c>
      <c r="C383" s="40" t="s">
        <v>2650</v>
      </c>
      <c r="D383" s="40"/>
      <c r="E383" s="40" t="s">
        <v>2651</v>
      </c>
      <c r="F383" s="40" t="s">
        <v>2652</v>
      </c>
      <c r="G383" s="40" t="s">
        <v>2653</v>
      </c>
      <c r="H383" s="40" t="s">
        <v>2654</v>
      </c>
      <c r="I383" s="40" t="s">
        <v>2655</v>
      </c>
      <c r="J383" s="40"/>
      <c r="K383" s="41" t="s">
        <v>2656</v>
      </c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</row>
    <row r="384" ht="21.0" customHeight="1">
      <c r="A384" s="40">
        <v>383.0</v>
      </c>
      <c r="B384" s="40" t="s">
        <v>49</v>
      </c>
      <c r="C384" s="40" t="s">
        <v>2657</v>
      </c>
      <c r="D384" s="40"/>
      <c r="E384" s="40" t="s">
        <v>2658</v>
      </c>
      <c r="F384" s="40" t="s">
        <v>2659</v>
      </c>
      <c r="G384" s="40" t="s">
        <v>2660</v>
      </c>
      <c r="H384" s="40" t="s">
        <v>2661</v>
      </c>
      <c r="I384" s="40" t="s">
        <v>2662</v>
      </c>
      <c r="J384" s="40"/>
      <c r="K384" s="41" t="s">
        <v>2663</v>
      </c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</row>
    <row r="385" ht="21.0" customHeight="1">
      <c r="A385" s="40">
        <v>384.0</v>
      </c>
      <c r="B385" s="40" t="s">
        <v>49</v>
      </c>
      <c r="C385" s="40" t="s">
        <v>2664</v>
      </c>
      <c r="D385" s="40" t="s">
        <v>2665</v>
      </c>
      <c r="E385" s="40" t="s">
        <v>2666</v>
      </c>
      <c r="F385" s="40" t="s">
        <v>2667</v>
      </c>
      <c r="G385" s="40" t="s">
        <v>2668</v>
      </c>
      <c r="H385" s="40" t="s">
        <v>2669</v>
      </c>
      <c r="I385" s="40" t="s">
        <v>2670</v>
      </c>
      <c r="J385" s="40" t="s">
        <v>2408</v>
      </c>
      <c r="K385" s="41" t="s">
        <v>2671</v>
      </c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</row>
    <row r="386" ht="21.0" customHeight="1">
      <c r="A386" s="40">
        <v>385.0</v>
      </c>
      <c r="B386" s="40" t="s">
        <v>49</v>
      </c>
      <c r="C386" s="40" t="s">
        <v>2672</v>
      </c>
      <c r="D386" s="40" t="s">
        <v>2665</v>
      </c>
      <c r="E386" s="40" t="s">
        <v>2666</v>
      </c>
      <c r="F386" s="40" t="s">
        <v>2673</v>
      </c>
      <c r="G386" s="40" t="s">
        <v>2674</v>
      </c>
      <c r="H386" s="40" t="s">
        <v>2675</v>
      </c>
      <c r="I386" s="40" t="s">
        <v>2676</v>
      </c>
      <c r="J386" s="40" t="s">
        <v>2408</v>
      </c>
      <c r="K386" s="41" t="s">
        <v>2677</v>
      </c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</row>
    <row r="387" ht="21.0" customHeight="1">
      <c r="A387" s="40">
        <v>386.0</v>
      </c>
      <c r="B387" s="40" t="s">
        <v>49</v>
      </c>
      <c r="C387" s="40" t="s">
        <v>2678</v>
      </c>
      <c r="D387" s="40"/>
      <c r="E387" s="40" t="s">
        <v>2679</v>
      </c>
      <c r="F387" s="40" t="s">
        <v>2680</v>
      </c>
      <c r="G387" s="40" t="s">
        <v>2681</v>
      </c>
      <c r="H387" s="40" t="s">
        <v>2682</v>
      </c>
      <c r="I387" s="40" t="s">
        <v>2683</v>
      </c>
      <c r="J387" s="40"/>
      <c r="K387" s="41" t="s">
        <v>2684</v>
      </c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</row>
    <row r="388" ht="21.0" customHeight="1">
      <c r="A388" s="40">
        <v>387.0</v>
      </c>
      <c r="B388" s="40" t="s">
        <v>49</v>
      </c>
      <c r="C388" s="40" t="s">
        <v>2685</v>
      </c>
      <c r="D388" s="40"/>
      <c r="E388" s="40" t="s">
        <v>2686</v>
      </c>
      <c r="F388" s="40" t="s">
        <v>2687</v>
      </c>
      <c r="G388" s="40" t="s">
        <v>2688</v>
      </c>
      <c r="H388" s="40" t="s">
        <v>2689</v>
      </c>
      <c r="I388" s="40" t="s">
        <v>2690</v>
      </c>
      <c r="J388" s="40"/>
      <c r="K388" s="41" t="s">
        <v>2691</v>
      </c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</row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hyperlinks>
    <hyperlink r:id="rId1" ref="G12"/>
    <hyperlink r:id="rId2" ref="G21"/>
    <hyperlink r:id="rId3" ref="G22"/>
    <hyperlink r:id="rId4" ref="G36"/>
    <hyperlink r:id="rId5" ref="G37"/>
    <hyperlink r:id="rId6" ref="G56"/>
    <hyperlink r:id="rId7" ref="G65"/>
    <hyperlink r:id="rId8" ref="G66"/>
    <hyperlink r:id="rId9" ref="G101"/>
    <hyperlink r:id="rId10" ref="G104"/>
    <hyperlink r:id="rId11" ref="G157"/>
    <hyperlink r:id="rId12" ref="G158"/>
    <hyperlink r:id="rId13" ref="G165"/>
    <hyperlink r:id="rId14" ref="G210"/>
    <hyperlink r:id="rId15" ref="G218"/>
    <hyperlink r:id="rId16" ref="G219"/>
    <hyperlink r:id="rId17" ref="G310"/>
    <hyperlink r:id="rId18" ref="G311"/>
    <hyperlink r:id="rId19" ref="G312"/>
    <hyperlink r:id="rId20" ref="G313"/>
    <hyperlink r:id="rId21" ref="G314"/>
    <hyperlink r:id="rId22" ref="G335"/>
    <hyperlink r:id="rId23" ref="G381"/>
    <hyperlink r:id="rId24" ref="G382"/>
  </hyperlinks>
  <printOptions/>
  <pageMargins bottom="0.75" footer="0.0" header="0.0" left="0.7" right="0.7" top="0.75"/>
  <pageSetup orientation="landscape"/>
  <drawing r:id="rId25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22.0"/>
    <col customWidth="1" min="2" max="2" width="40.0"/>
    <col customWidth="1" min="3" max="3" width="87.0"/>
    <col customWidth="1" min="4" max="4" width="42.0"/>
    <col customWidth="1" min="5" max="5" width="25.0"/>
    <col customWidth="1" min="6" max="6" width="77.0"/>
  </cols>
  <sheetData>
    <row r="1" ht="27.75" customHeight="1">
      <c r="A1" s="7" t="s">
        <v>2692</v>
      </c>
      <c r="B1" s="7" t="s">
        <v>54</v>
      </c>
      <c r="C1" s="7" t="s">
        <v>2693</v>
      </c>
      <c r="D1" s="7" t="s">
        <v>2694</v>
      </c>
      <c r="E1" s="7" t="s">
        <v>2695</v>
      </c>
      <c r="F1" s="7" t="s">
        <v>2696</v>
      </c>
    </row>
    <row r="2" ht="21.0" customHeight="1">
      <c r="A2" s="8" t="s">
        <v>2697</v>
      </c>
      <c r="B2" s="8" t="s">
        <v>2698</v>
      </c>
      <c r="C2" s="8" t="s">
        <v>2699</v>
      </c>
      <c r="D2" s="8" t="s">
        <v>2700</v>
      </c>
      <c r="E2" s="8" t="s">
        <v>2701</v>
      </c>
      <c r="F2" s="8" t="s">
        <v>2702</v>
      </c>
    </row>
    <row r="3" ht="21.0" customHeight="1">
      <c r="A3" s="8" t="s">
        <v>2703</v>
      </c>
      <c r="B3" s="8" t="s">
        <v>2704</v>
      </c>
      <c r="C3" s="8" t="s">
        <v>2704</v>
      </c>
      <c r="D3" s="8" t="s">
        <v>2705</v>
      </c>
      <c r="E3" s="8" t="s">
        <v>2706</v>
      </c>
      <c r="F3" s="8" t="s">
        <v>2707</v>
      </c>
    </row>
    <row r="4" ht="21.0" customHeight="1">
      <c r="A4" s="8" t="s">
        <v>2708</v>
      </c>
      <c r="B4" s="8" t="s">
        <v>2709</v>
      </c>
      <c r="C4" s="8" t="s">
        <v>2710</v>
      </c>
      <c r="D4" s="8" t="s">
        <v>2711</v>
      </c>
      <c r="E4" s="8" t="s">
        <v>2712</v>
      </c>
      <c r="F4" s="8" t="s">
        <v>2713</v>
      </c>
    </row>
    <row r="5" ht="21.0" customHeight="1">
      <c r="A5" s="8" t="s">
        <v>2714</v>
      </c>
      <c r="B5" s="8" t="s">
        <v>2715</v>
      </c>
      <c r="C5" s="8" t="s">
        <v>2716</v>
      </c>
      <c r="D5" s="8" t="s">
        <v>2717</v>
      </c>
      <c r="E5" s="8" t="s">
        <v>2718</v>
      </c>
      <c r="F5" s="8" t="s">
        <v>2719</v>
      </c>
    </row>
    <row r="6" ht="21.0" customHeight="1">
      <c r="A6" s="8" t="s">
        <v>2720</v>
      </c>
      <c r="B6" s="8" t="s">
        <v>2721</v>
      </c>
      <c r="C6" s="8" t="s">
        <v>2722</v>
      </c>
      <c r="D6" s="8" t="s">
        <v>2723</v>
      </c>
      <c r="E6" s="8" t="s">
        <v>2724</v>
      </c>
      <c r="F6" s="8" t="s">
        <v>2725</v>
      </c>
    </row>
    <row r="7" ht="13.5" customHeight="1">
      <c r="A7" s="3" t="s">
        <v>2726</v>
      </c>
      <c r="B7" s="3" t="s">
        <v>2727</v>
      </c>
      <c r="C7" s="3" t="s">
        <v>2728</v>
      </c>
      <c r="D7" s="3" t="s">
        <v>2729</v>
      </c>
      <c r="E7" s="3" t="s">
        <v>2730</v>
      </c>
      <c r="F7" s="3" t="s">
        <v>2731</v>
      </c>
    </row>
    <row r="8" ht="13.5" customHeight="1">
      <c r="A8" s="3" t="s">
        <v>2726</v>
      </c>
      <c r="B8" s="3" t="s">
        <v>2732</v>
      </c>
      <c r="C8" s="3" t="s">
        <v>2733</v>
      </c>
      <c r="D8" s="3" t="s">
        <v>2734</v>
      </c>
      <c r="E8" s="3" t="s">
        <v>2730</v>
      </c>
      <c r="F8" s="3" t="s">
        <v>2731</v>
      </c>
    </row>
    <row r="9" ht="13.5" customHeight="1">
      <c r="A9" s="3" t="s">
        <v>2726</v>
      </c>
      <c r="B9" s="3" t="s">
        <v>2735</v>
      </c>
      <c r="C9" s="3" t="s">
        <v>2736</v>
      </c>
      <c r="D9" s="3" t="s">
        <v>2737</v>
      </c>
      <c r="E9" s="3" t="s">
        <v>2730</v>
      </c>
      <c r="F9" s="3" t="s">
        <v>2731</v>
      </c>
    </row>
    <row r="10" ht="13.5" customHeight="1">
      <c r="A10" s="3" t="s">
        <v>2726</v>
      </c>
      <c r="B10" s="3" t="s">
        <v>2738</v>
      </c>
      <c r="C10" s="3" t="s">
        <v>2739</v>
      </c>
      <c r="D10" s="3" t="s">
        <v>2740</v>
      </c>
      <c r="E10" s="3" t="s">
        <v>2730</v>
      </c>
      <c r="F10" s="3" t="s">
        <v>2731</v>
      </c>
    </row>
    <row r="11" ht="13.5" customHeight="1">
      <c r="A11" s="3" t="s">
        <v>2726</v>
      </c>
      <c r="B11" s="3" t="s">
        <v>2741</v>
      </c>
      <c r="C11" s="3" t="s">
        <v>2742</v>
      </c>
      <c r="D11" s="3" t="s">
        <v>2743</v>
      </c>
      <c r="E11" s="3" t="s">
        <v>2730</v>
      </c>
      <c r="F11" s="3" t="s">
        <v>2744</v>
      </c>
    </row>
    <row r="12" ht="13.5" customHeight="1">
      <c r="A12" s="52" t="s">
        <v>2745</v>
      </c>
      <c r="B12" s="52" t="s">
        <v>2746</v>
      </c>
      <c r="C12" s="52" t="s">
        <v>2747</v>
      </c>
      <c r="D12" s="52" t="s">
        <v>2748</v>
      </c>
      <c r="E12" s="52" t="s">
        <v>2749</v>
      </c>
      <c r="F12" s="52" t="s">
        <v>2750</v>
      </c>
    </row>
    <row r="13" ht="13.5" customHeight="1">
      <c r="A13" s="52" t="s">
        <v>2745</v>
      </c>
      <c r="B13" s="52" t="s">
        <v>2751</v>
      </c>
      <c r="C13" s="52" t="s">
        <v>2747</v>
      </c>
      <c r="D13" s="52" t="s">
        <v>2748</v>
      </c>
      <c r="E13" s="52" t="s">
        <v>2749</v>
      </c>
      <c r="F13" s="52" t="s">
        <v>2752</v>
      </c>
    </row>
    <row r="14" ht="13.5" customHeight="1">
      <c r="A14" s="52" t="s">
        <v>2753</v>
      </c>
      <c r="B14" s="52" t="s">
        <v>2754</v>
      </c>
      <c r="C14" s="52" t="s">
        <v>2755</v>
      </c>
      <c r="D14" s="52" t="s">
        <v>2756</v>
      </c>
      <c r="E14" s="52" t="s">
        <v>2701</v>
      </c>
      <c r="F14" s="52" t="s">
        <v>2757</v>
      </c>
    </row>
    <row r="15" ht="13.5" customHeight="1"/>
    <row r="16" ht="13.5" customHeight="1"/>
    <row r="17" ht="13.5" customHeight="1"/>
    <row r="18" ht="13.5" customHeight="1"/>
    <row r="19" ht="13.5" customHeight="1"/>
    <row r="20" ht="13.5" customHeight="1"/>
    <row r="21" ht="13.5" customHeight="1"/>
    <row r="22" ht="13.5" customHeight="1"/>
    <row r="23" ht="13.5" customHeight="1"/>
    <row r="24" ht="13.5" customHeight="1"/>
    <row r="25" ht="13.5" customHeight="1"/>
    <row r="26" ht="13.5" customHeight="1"/>
    <row r="27" ht="13.5" customHeight="1"/>
    <row r="28" ht="13.5" customHeight="1"/>
    <row r="29" ht="13.5" customHeight="1"/>
    <row r="30" ht="13.5" customHeight="1"/>
    <row r="31" ht="13.5" customHeight="1"/>
    <row r="32" ht="13.5" customHeight="1"/>
    <row r="33" ht="13.5" customHeight="1"/>
    <row r="34" ht="13.5" customHeight="1"/>
    <row r="35" ht="13.5" customHeight="1"/>
    <row r="36" ht="13.5" customHeight="1"/>
    <row r="37" ht="13.5" customHeight="1"/>
    <row r="38" ht="13.5" customHeight="1"/>
    <row r="39" ht="13.5" customHeight="1"/>
    <row r="40" ht="13.5" customHeight="1"/>
    <row r="41" ht="13.5" customHeight="1"/>
    <row r="42" ht="13.5" customHeight="1"/>
    <row r="43" ht="13.5" customHeight="1"/>
    <row r="44" ht="13.5" customHeight="1"/>
    <row r="45" ht="13.5" customHeight="1"/>
    <row r="46" ht="13.5" customHeight="1"/>
    <row r="47" ht="13.5" customHeight="1"/>
    <row r="48" ht="13.5" customHeight="1"/>
    <row r="49" ht="13.5" customHeight="1"/>
    <row r="50" ht="13.5" customHeight="1"/>
    <row r="51" ht="13.5" customHeight="1"/>
    <row r="52" ht="13.5" customHeight="1"/>
    <row r="53" ht="13.5" customHeight="1"/>
    <row r="54" ht="13.5" customHeight="1"/>
    <row r="55" ht="13.5" customHeight="1"/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4.0"/>
    <col customWidth="1" min="2" max="2" width="25.0"/>
    <col customWidth="1" min="3" max="3" width="17.0"/>
    <col customWidth="1" min="4" max="4" width="43.0"/>
    <col customWidth="1" min="5" max="5" width="18.0"/>
    <col customWidth="1" min="6" max="6" width="51.0"/>
    <col customWidth="1" min="7" max="7" width="23.0"/>
    <col customWidth="1" min="8" max="8" width="74.0"/>
    <col customWidth="1" min="9" max="9" width="27.0"/>
    <col customWidth="1" min="10" max="10" width="17.0"/>
    <col customWidth="1" min="11" max="11" width="45.0"/>
    <col customWidth="1" min="12" max="12" width="16.0"/>
    <col customWidth="1" min="13" max="13" width="22.0"/>
    <col customWidth="1" min="14" max="14" width="3.0"/>
    <col customWidth="1" min="15" max="15" width="8.0"/>
    <col customWidth="1" min="16" max="16" width="19.0"/>
    <col customWidth="1" min="17" max="17" width="43.0"/>
    <col customWidth="1" min="18" max="18" width="18.0"/>
    <col customWidth="1" min="19" max="20" width="25.0"/>
    <col customWidth="1" min="21" max="21" width="62.0"/>
    <col customWidth="1" min="22" max="26" width="8.63"/>
  </cols>
  <sheetData>
    <row r="1" ht="33.75" customHeight="1">
      <c r="A1" s="53" t="s">
        <v>2758</v>
      </c>
    </row>
    <row r="2" ht="25.5" customHeight="1">
      <c r="A2" s="54" t="s">
        <v>2759</v>
      </c>
    </row>
    <row r="4" ht="28.5" customHeight="1">
      <c r="A4" s="55" t="s">
        <v>2760</v>
      </c>
      <c r="B4" s="55" t="s">
        <v>2761</v>
      </c>
      <c r="D4" s="55" t="s">
        <v>2762</v>
      </c>
      <c r="E4" s="55" t="s">
        <v>2761</v>
      </c>
      <c r="H4" s="56" t="s">
        <v>2763</v>
      </c>
      <c r="O4" s="57" t="s">
        <v>2764</v>
      </c>
    </row>
    <row r="5" ht="24.75" customHeight="1">
      <c r="A5" s="58" t="s">
        <v>2765</v>
      </c>
      <c r="B5" s="59">
        <f>COUNTIF(I15:I466,"Parent – Has Own Image")</f>
        <v>4</v>
      </c>
      <c r="D5" s="58" t="s">
        <v>2766</v>
      </c>
      <c r="E5" s="59">
        <f>COUNTIF(G15:G466,"Has Image")</f>
        <v>387</v>
      </c>
      <c r="H5" s="60" t="s">
        <v>2767</v>
      </c>
      <c r="O5" s="61" t="s">
        <v>70</v>
      </c>
      <c r="P5" s="61" t="s">
        <v>2768</v>
      </c>
      <c r="Q5" s="61" t="s">
        <v>2769</v>
      </c>
      <c r="R5" s="61" t="s">
        <v>2770</v>
      </c>
      <c r="S5" s="61" t="s">
        <v>2771</v>
      </c>
      <c r="T5" s="61" t="s">
        <v>2772</v>
      </c>
      <c r="U5" s="61" t="s">
        <v>2773</v>
      </c>
    </row>
    <row r="6" ht="22.5" customHeight="1">
      <c r="A6" s="58" t="s">
        <v>2774</v>
      </c>
      <c r="B6" s="59">
        <f>COUNTIF(I15:I466,"Parent – No Own Image")</f>
        <v>65</v>
      </c>
      <c r="D6" s="58" t="s">
        <v>2775</v>
      </c>
      <c r="E6" s="59">
        <f>COUNTIF(G15:G466,"Missing Image")</f>
        <v>0</v>
      </c>
      <c r="H6" s="60" t="s">
        <v>2776</v>
      </c>
      <c r="O6" s="62" t="s">
        <v>2777</v>
      </c>
      <c r="P6" s="62" t="s">
        <v>2778</v>
      </c>
      <c r="Q6" s="62" t="s">
        <v>2779</v>
      </c>
      <c r="R6" s="62"/>
      <c r="S6" s="62"/>
      <c r="T6" s="62"/>
      <c r="U6" s="63" t="s">
        <v>2780</v>
      </c>
    </row>
    <row r="7" ht="22.5" customHeight="1">
      <c r="A7" s="58" t="s">
        <v>2781</v>
      </c>
      <c r="B7" s="59">
        <f>COUNTIF(I15:I466,"Child / Variant")</f>
        <v>261</v>
      </c>
      <c r="D7" s="58" t="s">
        <v>2782</v>
      </c>
      <c r="E7" s="59">
        <f>COUNTIF(G15:G466,"No Image Required")</f>
        <v>65</v>
      </c>
      <c r="H7" s="60" t="s">
        <v>2783</v>
      </c>
      <c r="U7" s="64"/>
    </row>
    <row r="8" ht="22.5" customHeight="1">
      <c r="A8" s="58" t="s">
        <v>2784</v>
      </c>
      <c r="B8" s="59">
        <f>COUNTIF(I15:I466,"Independent")</f>
        <v>122</v>
      </c>
      <c r="D8" s="58" t="s">
        <v>2785</v>
      </c>
      <c r="E8" s="59">
        <f>COUNTIF(G15:G466,"Needs Review")</f>
        <v>0</v>
      </c>
      <c r="H8" s="60" t="s">
        <v>2786</v>
      </c>
      <c r="U8" s="64"/>
    </row>
    <row r="9" ht="22.5" customHeight="1">
      <c r="A9" s="65" t="s">
        <v>2787</v>
      </c>
      <c r="B9" s="66">
        <f>SUM(B5:B8)</f>
        <v>452</v>
      </c>
      <c r="D9" s="65" t="s">
        <v>2787</v>
      </c>
      <c r="E9" s="66">
        <f>SUM(E5:E8)</f>
        <v>452</v>
      </c>
      <c r="H9" s="60" t="s">
        <v>2788</v>
      </c>
      <c r="U9" s="64"/>
    </row>
    <row r="10" ht="22.5" customHeight="1">
      <c r="U10" s="64"/>
    </row>
    <row r="11" ht="22.5" customHeight="1">
      <c r="A11" s="67" t="s">
        <v>2789</v>
      </c>
      <c r="U11" s="64"/>
    </row>
    <row r="12" ht="22.5" customHeight="1">
      <c r="A12" s="67" t="s">
        <v>2790</v>
      </c>
      <c r="U12" s="64"/>
    </row>
    <row r="13" ht="22.5" customHeight="1">
      <c r="U13" s="64"/>
    </row>
    <row r="14" ht="28.5" customHeight="1">
      <c r="A14" s="68" t="s">
        <v>2791</v>
      </c>
      <c r="B14" s="68" t="s">
        <v>71</v>
      </c>
      <c r="C14" s="68" t="s">
        <v>72</v>
      </c>
      <c r="D14" s="68" t="s">
        <v>2792</v>
      </c>
      <c r="E14" s="68" t="s">
        <v>55</v>
      </c>
      <c r="F14" s="68" t="s">
        <v>2793</v>
      </c>
      <c r="G14" s="68" t="s">
        <v>2794</v>
      </c>
      <c r="H14" s="68" t="s">
        <v>65</v>
      </c>
      <c r="I14" s="68" t="s">
        <v>2795</v>
      </c>
      <c r="J14" s="68" t="s">
        <v>57</v>
      </c>
      <c r="K14" s="68" t="s">
        <v>2796</v>
      </c>
      <c r="L14" s="68" t="s">
        <v>56</v>
      </c>
      <c r="M14" s="69" t="s">
        <v>2797</v>
      </c>
    </row>
    <row r="15" ht="21.0" customHeight="1">
      <c r="A15" s="70">
        <v>1.0</v>
      </c>
      <c r="B15" s="71" t="s">
        <v>37</v>
      </c>
      <c r="C15" s="72" t="s">
        <v>150</v>
      </c>
      <c r="D15" s="73" t="s">
        <v>151</v>
      </c>
      <c r="E15" s="71"/>
      <c r="F15" s="73" t="s">
        <v>2798</v>
      </c>
      <c r="G15" s="74" t="s">
        <v>2766</v>
      </c>
      <c r="H15" s="73" t="s">
        <v>2799</v>
      </c>
      <c r="I15" s="75" t="s">
        <v>2765</v>
      </c>
      <c r="J15" s="74" t="b">
        <v>1</v>
      </c>
      <c r="K15" s="71" t="s">
        <v>152</v>
      </c>
      <c r="L15" s="71" t="s">
        <v>2800</v>
      </c>
      <c r="M15" s="76" t="s">
        <v>2801</v>
      </c>
    </row>
    <row r="16" ht="27.75" customHeight="1">
      <c r="A16" s="70">
        <v>2.0</v>
      </c>
      <c r="B16" s="71" t="s">
        <v>37</v>
      </c>
      <c r="C16" s="72" t="s">
        <v>172</v>
      </c>
      <c r="D16" s="73" t="s">
        <v>173</v>
      </c>
      <c r="E16" s="71"/>
      <c r="F16" s="73" t="s">
        <v>179</v>
      </c>
      <c r="G16" s="74" t="s">
        <v>2766</v>
      </c>
      <c r="H16" s="73" t="s">
        <v>2799</v>
      </c>
      <c r="I16" s="77" t="s">
        <v>2765</v>
      </c>
      <c r="J16" s="74" t="b">
        <v>1</v>
      </c>
      <c r="K16" s="71" t="s">
        <v>174</v>
      </c>
      <c r="L16" s="71" t="s">
        <v>2800</v>
      </c>
      <c r="M16" s="76" t="s">
        <v>2802</v>
      </c>
      <c r="O16" s="78" t="s">
        <v>2803</v>
      </c>
    </row>
    <row r="17" ht="25.5" customHeight="1">
      <c r="A17" s="70">
        <v>3.0</v>
      </c>
      <c r="B17" s="71" t="s">
        <v>43</v>
      </c>
      <c r="C17" s="72" t="s">
        <v>1588</v>
      </c>
      <c r="D17" s="73" t="s">
        <v>1589</v>
      </c>
      <c r="E17" s="71"/>
      <c r="F17" s="73" t="s">
        <v>1595</v>
      </c>
      <c r="G17" s="74" t="s">
        <v>2766</v>
      </c>
      <c r="H17" s="73" t="s">
        <v>2799</v>
      </c>
      <c r="I17" s="77" t="s">
        <v>2765</v>
      </c>
      <c r="J17" s="74" t="b">
        <v>1</v>
      </c>
      <c r="K17" s="71" t="s">
        <v>1590</v>
      </c>
      <c r="L17" s="71" t="s">
        <v>2800</v>
      </c>
      <c r="M17" s="76" t="s">
        <v>2804</v>
      </c>
      <c r="O17" s="79" t="s">
        <v>70</v>
      </c>
      <c r="P17" s="79" t="s">
        <v>2805</v>
      </c>
      <c r="Q17" s="79" t="s">
        <v>2806</v>
      </c>
      <c r="R17" s="79" t="s">
        <v>2807</v>
      </c>
      <c r="S17" s="79" t="s">
        <v>2808</v>
      </c>
      <c r="T17" s="79" t="s">
        <v>2809</v>
      </c>
      <c r="U17" s="79" t="s">
        <v>2810</v>
      </c>
    </row>
    <row r="18" ht="24.0" customHeight="1">
      <c r="A18" s="70">
        <v>4.0</v>
      </c>
      <c r="B18" s="71" t="s">
        <v>43</v>
      </c>
      <c r="C18" s="72" t="s">
        <v>2160</v>
      </c>
      <c r="D18" s="73" t="s">
        <v>2161</v>
      </c>
      <c r="E18" s="71"/>
      <c r="F18" s="73" t="s">
        <v>2811</v>
      </c>
      <c r="G18" s="74" t="s">
        <v>2766</v>
      </c>
      <c r="H18" s="73" t="s">
        <v>2799</v>
      </c>
      <c r="I18" s="77" t="s">
        <v>2765</v>
      </c>
      <c r="J18" s="74" t="b">
        <v>1</v>
      </c>
      <c r="K18" s="71" t="s">
        <v>2162</v>
      </c>
      <c r="L18" s="71" t="s">
        <v>2800</v>
      </c>
      <c r="M18" s="76" t="s">
        <v>2812</v>
      </c>
      <c r="O18" s="80">
        <v>1.0</v>
      </c>
      <c r="P18" s="52" t="s">
        <v>1796</v>
      </c>
      <c r="Q18" s="52" t="s">
        <v>2813</v>
      </c>
      <c r="S18" s="52" t="s">
        <v>2814</v>
      </c>
      <c r="T18" s="52" t="s">
        <v>2766</v>
      </c>
      <c r="U18" s="52" t="s">
        <v>2815</v>
      </c>
    </row>
    <row r="19" ht="24.0" customHeight="1">
      <c r="A19" s="70">
        <v>5.0</v>
      </c>
      <c r="B19" s="71" t="s">
        <v>37</v>
      </c>
      <c r="C19" s="72" t="s">
        <v>94</v>
      </c>
      <c r="D19" s="73" t="s">
        <v>2816</v>
      </c>
      <c r="E19" s="71"/>
      <c r="F19" s="73" t="s">
        <v>2817</v>
      </c>
      <c r="G19" s="74" t="s">
        <v>2782</v>
      </c>
      <c r="H19" s="73" t="s">
        <v>2818</v>
      </c>
      <c r="I19" s="77" t="s">
        <v>2774</v>
      </c>
      <c r="J19" s="74" t="b">
        <v>0</v>
      </c>
      <c r="K19" s="71"/>
      <c r="L19" s="71" t="s">
        <v>2800</v>
      </c>
      <c r="M19" s="76"/>
      <c r="O19" s="80">
        <v>2.0</v>
      </c>
      <c r="P19" s="52" t="s">
        <v>1804</v>
      </c>
      <c r="Q19" s="52" t="s">
        <v>2813</v>
      </c>
      <c r="S19" s="52" t="s">
        <v>2814</v>
      </c>
      <c r="T19" s="52" t="s">
        <v>2766</v>
      </c>
      <c r="U19" s="52" t="s">
        <v>2815</v>
      </c>
    </row>
    <row r="20" ht="24.0" customHeight="1">
      <c r="A20" s="70">
        <v>6.0</v>
      </c>
      <c r="B20" s="71" t="s">
        <v>37</v>
      </c>
      <c r="C20" s="72" t="s">
        <v>130</v>
      </c>
      <c r="D20" s="73" t="s">
        <v>131</v>
      </c>
      <c r="E20" s="71"/>
      <c r="F20" s="73" t="s">
        <v>2819</v>
      </c>
      <c r="G20" s="74" t="s">
        <v>2782</v>
      </c>
      <c r="H20" s="73" t="s">
        <v>2818</v>
      </c>
      <c r="I20" s="77" t="s">
        <v>2774</v>
      </c>
      <c r="J20" s="74" t="b">
        <v>0</v>
      </c>
      <c r="K20" s="71"/>
      <c r="L20" s="71" t="s">
        <v>2800</v>
      </c>
      <c r="M20" s="76"/>
      <c r="O20" s="80">
        <v>3.0</v>
      </c>
      <c r="P20" s="52" t="s">
        <v>1897</v>
      </c>
      <c r="Q20" s="52" t="s">
        <v>2813</v>
      </c>
      <c r="S20" s="52" t="s">
        <v>2814</v>
      </c>
      <c r="T20" s="52" t="s">
        <v>2766</v>
      </c>
      <c r="U20" s="52" t="s">
        <v>2815</v>
      </c>
    </row>
    <row r="21" ht="24.0" customHeight="1">
      <c r="A21" s="70">
        <v>7.0</v>
      </c>
      <c r="B21" s="71" t="s">
        <v>37</v>
      </c>
      <c r="C21" s="72" t="s">
        <v>194</v>
      </c>
      <c r="D21" s="73" t="s">
        <v>2820</v>
      </c>
      <c r="E21" s="71"/>
      <c r="F21" s="73" t="s">
        <v>2821</v>
      </c>
      <c r="G21" s="74" t="s">
        <v>2782</v>
      </c>
      <c r="H21" s="73" t="s">
        <v>2818</v>
      </c>
      <c r="I21" s="77" t="s">
        <v>2774</v>
      </c>
      <c r="J21" s="74" t="b">
        <v>0</v>
      </c>
      <c r="K21" s="71"/>
      <c r="L21" s="71" t="s">
        <v>2800</v>
      </c>
      <c r="M21" s="76"/>
      <c r="O21" s="80">
        <v>4.0</v>
      </c>
      <c r="P21" s="52" t="s">
        <v>1904</v>
      </c>
      <c r="Q21" s="52" t="s">
        <v>2813</v>
      </c>
      <c r="S21" s="52" t="s">
        <v>2814</v>
      </c>
      <c r="T21" s="52" t="s">
        <v>2766</v>
      </c>
      <c r="U21" s="52" t="s">
        <v>2815</v>
      </c>
    </row>
    <row r="22" ht="24.0" customHeight="1">
      <c r="A22" s="70">
        <v>8.0</v>
      </c>
      <c r="B22" s="71" t="s">
        <v>37</v>
      </c>
      <c r="C22" s="72" t="s">
        <v>209</v>
      </c>
      <c r="D22" s="73" t="s">
        <v>217</v>
      </c>
      <c r="E22" s="71"/>
      <c r="F22" s="73" t="s">
        <v>2822</v>
      </c>
      <c r="G22" s="74" t="s">
        <v>2782</v>
      </c>
      <c r="H22" s="73" t="s">
        <v>2818</v>
      </c>
      <c r="I22" s="77" t="s">
        <v>2774</v>
      </c>
      <c r="J22" s="74" t="b">
        <v>0</v>
      </c>
      <c r="K22" s="71"/>
      <c r="L22" s="71" t="s">
        <v>2800</v>
      </c>
      <c r="M22" s="76"/>
      <c r="O22" s="80">
        <v>5.0</v>
      </c>
      <c r="P22" s="52" t="s">
        <v>2247</v>
      </c>
      <c r="Q22" s="52" t="s">
        <v>2813</v>
      </c>
      <c r="S22" s="52" t="s">
        <v>2814</v>
      </c>
      <c r="T22" s="52" t="s">
        <v>2766</v>
      </c>
      <c r="U22" s="52" t="s">
        <v>2815</v>
      </c>
    </row>
    <row r="23" ht="24.0" customHeight="1">
      <c r="A23" s="70">
        <v>9.0</v>
      </c>
      <c r="B23" s="71" t="s">
        <v>37</v>
      </c>
      <c r="C23" s="72" t="s">
        <v>308</v>
      </c>
      <c r="D23" s="73" t="s">
        <v>2823</v>
      </c>
      <c r="E23" s="71"/>
      <c r="F23" s="73" t="s">
        <v>2824</v>
      </c>
      <c r="G23" s="74" t="s">
        <v>2782</v>
      </c>
      <c r="H23" s="73" t="s">
        <v>2818</v>
      </c>
      <c r="I23" s="75" t="s">
        <v>2774</v>
      </c>
      <c r="J23" s="74" t="b">
        <v>0</v>
      </c>
      <c r="K23" s="71"/>
      <c r="L23" s="71" t="s">
        <v>2800</v>
      </c>
      <c r="M23" s="76"/>
      <c r="O23" s="80">
        <v>6.0</v>
      </c>
      <c r="P23" s="52" t="s">
        <v>2254</v>
      </c>
      <c r="Q23" s="52" t="s">
        <v>2813</v>
      </c>
      <c r="S23" s="52" t="s">
        <v>2814</v>
      </c>
      <c r="T23" s="52" t="s">
        <v>2766</v>
      </c>
      <c r="U23" s="52" t="s">
        <v>2815</v>
      </c>
    </row>
    <row r="24" ht="24.0" customHeight="1">
      <c r="A24" s="70">
        <v>10.0</v>
      </c>
      <c r="B24" s="71" t="s">
        <v>37</v>
      </c>
      <c r="C24" s="72" t="s">
        <v>323</v>
      </c>
      <c r="D24" s="73" t="s">
        <v>324</v>
      </c>
      <c r="E24" s="71"/>
      <c r="F24" s="73" t="s">
        <v>2825</v>
      </c>
      <c r="G24" s="74" t="s">
        <v>2782</v>
      </c>
      <c r="H24" s="73" t="s">
        <v>2818</v>
      </c>
      <c r="I24" s="77" t="s">
        <v>2774</v>
      </c>
      <c r="J24" s="74" t="b">
        <v>0</v>
      </c>
      <c r="K24" s="71"/>
      <c r="L24" s="71" t="s">
        <v>2800</v>
      </c>
      <c r="M24" s="76"/>
      <c r="O24" s="80">
        <v>7.0</v>
      </c>
      <c r="P24" s="52" t="s">
        <v>2261</v>
      </c>
      <c r="Q24" s="52" t="s">
        <v>2813</v>
      </c>
      <c r="S24" s="52" t="s">
        <v>2814</v>
      </c>
      <c r="T24" s="52" t="s">
        <v>2766</v>
      </c>
      <c r="U24" s="52" t="s">
        <v>2815</v>
      </c>
    </row>
    <row r="25" ht="24.0" customHeight="1">
      <c r="A25" s="70">
        <v>11.0</v>
      </c>
      <c r="B25" s="71" t="s">
        <v>37</v>
      </c>
      <c r="C25" s="72" t="s">
        <v>378</v>
      </c>
      <c r="D25" s="73" t="s">
        <v>379</v>
      </c>
      <c r="E25" s="71"/>
      <c r="F25" s="73" t="s">
        <v>2826</v>
      </c>
      <c r="G25" s="74" t="s">
        <v>2782</v>
      </c>
      <c r="H25" s="73" t="s">
        <v>2818</v>
      </c>
      <c r="I25" s="77" t="s">
        <v>2774</v>
      </c>
      <c r="J25" s="74" t="b">
        <v>0</v>
      </c>
      <c r="K25" s="71"/>
      <c r="L25" s="71" t="s">
        <v>2800</v>
      </c>
      <c r="M25" s="76"/>
      <c r="O25" s="80">
        <v>8.0</v>
      </c>
      <c r="P25" s="52" t="s">
        <v>2827</v>
      </c>
      <c r="Q25" s="52" t="s">
        <v>2828</v>
      </c>
      <c r="R25" s="52" t="s">
        <v>2829</v>
      </c>
      <c r="S25" s="52" t="s">
        <v>2830</v>
      </c>
      <c r="T25" s="52" t="s">
        <v>2831</v>
      </c>
      <c r="U25" s="52" t="s">
        <v>2832</v>
      </c>
    </row>
    <row r="26" ht="24.0" customHeight="1">
      <c r="A26" s="70">
        <v>12.0</v>
      </c>
      <c r="B26" s="71" t="s">
        <v>37</v>
      </c>
      <c r="C26" s="72" t="s">
        <v>460</v>
      </c>
      <c r="D26" s="73" t="s">
        <v>461</v>
      </c>
      <c r="E26" s="71"/>
      <c r="F26" s="73" t="s">
        <v>2833</v>
      </c>
      <c r="G26" s="74" t="s">
        <v>2782</v>
      </c>
      <c r="H26" s="73" t="s">
        <v>2818</v>
      </c>
      <c r="I26" s="77" t="s">
        <v>2774</v>
      </c>
      <c r="J26" s="74" t="b">
        <v>0</v>
      </c>
      <c r="K26" s="71"/>
      <c r="L26" s="71" t="s">
        <v>2800</v>
      </c>
      <c r="M26" s="76"/>
      <c r="O26" s="80">
        <v>9.0</v>
      </c>
      <c r="P26" s="52" t="s">
        <v>2834</v>
      </c>
      <c r="Q26" s="52" t="s">
        <v>2835</v>
      </c>
      <c r="S26" s="52" t="s">
        <v>2836</v>
      </c>
      <c r="T26" s="52" t="s">
        <v>2837</v>
      </c>
      <c r="U26" s="52" t="s">
        <v>2838</v>
      </c>
    </row>
    <row r="27" ht="24.0" customHeight="1">
      <c r="A27" s="70">
        <v>13.0</v>
      </c>
      <c r="B27" s="71" t="s">
        <v>39</v>
      </c>
      <c r="C27" s="72" t="s">
        <v>537</v>
      </c>
      <c r="D27" s="73" t="s">
        <v>538</v>
      </c>
      <c r="E27" s="71"/>
      <c r="F27" s="73" t="s">
        <v>2839</v>
      </c>
      <c r="G27" s="74" t="s">
        <v>2782</v>
      </c>
      <c r="H27" s="73" t="s">
        <v>2818</v>
      </c>
      <c r="I27" s="77" t="s">
        <v>2774</v>
      </c>
      <c r="J27" s="74" t="b">
        <v>0</v>
      </c>
      <c r="K27" s="71"/>
      <c r="L27" s="71" t="s">
        <v>2800</v>
      </c>
      <c r="M27" s="76"/>
      <c r="O27" s="80">
        <v>10.0</v>
      </c>
      <c r="P27" s="52" t="s">
        <v>2840</v>
      </c>
      <c r="Q27" s="52" t="s">
        <v>2841</v>
      </c>
      <c r="R27" s="52" t="s">
        <v>725</v>
      </c>
      <c r="S27" s="52" t="s">
        <v>2842</v>
      </c>
      <c r="T27" s="52" t="s">
        <v>2843</v>
      </c>
      <c r="U27" s="52" t="s">
        <v>2844</v>
      </c>
    </row>
    <row r="28" ht="24.0" customHeight="1">
      <c r="A28" s="70">
        <v>14.0</v>
      </c>
      <c r="B28" s="71" t="s">
        <v>39</v>
      </c>
      <c r="C28" s="72" t="s">
        <v>563</v>
      </c>
      <c r="D28" s="73" t="s">
        <v>564</v>
      </c>
      <c r="E28" s="71"/>
      <c r="F28" s="73" t="s">
        <v>2845</v>
      </c>
      <c r="G28" s="74" t="s">
        <v>2782</v>
      </c>
      <c r="H28" s="73" t="s">
        <v>2818</v>
      </c>
      <c r="I28" s="77" t="s">
        <v>2774</v>
      </c>
      <c r="J28" s="74" t="b">
        <v>0</v>
      </c>
      <c r="K28" s="71"/>
      <c r="L28" s="71" t="s">
        <v>2800</v>
      </c>
      <c r="M28" s="76"/>
      <c r="O28" s="80">
        <v>11.0</v>
      </c>
      <c r="P28" s="52" t="s">
        <v>2846</v>
      </c>
      <c r="Q28" s="52" t="s">
        <v>2841</v>
      </c>
      <c r="R28" s="52" t="s">
        <v>725</v>
      </c>
      <c r="S28" s="52" t="s">
        <v>2842</v>
      </c>
      <c r="T28" s="52" t="s">
        <v>2843</v>
      </c>
      <c r="U28" s="52" t="s">
        <v>2844</v>
      </c>
    </row>
    <row r="29" ht="24.0" customHeight="1">
      <c r="A29" s="70">
        <v>15.0</v>
      </c>
      <c r="B29" s="71" t="s">
        <v>39</v>
      </c>
      <c r="C29" s="72" t="s">
        <v>577</v>
      </c>
      <c r="D29" s="73" t="s">
        <v>578</v>
      </c>
      <c r="E29" s="71"/>
      <c r="F29" s="73" t="s">
        <v>2847</v>
      </c>
      <c r="G29" s="74" t="s">
        <v>2782</v>
      </c>
      <c r="H29" s="73" t="s">
        <v>2818</v>
      </c>
      <c r="I29" s="77" t="s">
        <v>2774</v>
      </c>
      <c r="J29" s="74" t="b">
        <v>0</v>
      </c>
      <c r="K29" s="71"/>
      <c r="L29" s="71" t="s">
        <v>2800</v>
      </c>
      <c r="M29" s="76"/>
      <c r="O29" s="80">
        <v>12.0</v>
      </c>
      <c r="P29" s="52" t="s">
        <v>701</v>
      </c>
      <c r="Q29" s="52" t="s">
        <v>2848</v>
      </c>
      <c r="R29" s="52" t="s">
        <v>701</v>
      </c>
      <c r="S29" s="52" t="s">
        <v>2849</v>
      </c>
      <c r="T29" s="52" t="s">
        <v>2850</v>
      </c>
      <c r="U29" s="52" t="s">
        <v>2851</v>
      </c>
    </row>
    <row r="30" ht="24.0" customHeight="1">
      <c r="A30" s="70">
        <v>16.0</v>
      </c>
      <c r="B30" s="71" t="s">
        <v>39</v>
      </c>
      <c r="C30" s="72" t="s">
        <v>603</v>
      </c>
      <c r="D30" s="73" t="s">
        <v>604</v>
      </c>
      <c r="E30" s="71"/>
      <c r="F30" s="73" t="s">
        <v>2852</v>
      </c>
      <c r="G30" s="74" t="s">
        <v>2782</v>
      </c>
      <c r="H30" s="73" t="s">
        <v>2818</v>
      </c>
      <c r="I30" s="77" t="s">
        <v>2774</v>
      </c>
      <c r="J30" s="74" t="b">
        <v>0</v>
      </c>
      <c r="K30" s="71"/>
      <c r="L30" s="71" t="s">
        <v>2800</v>
      </c>
      <c r="M30" s="76"/>
      <c r="O30" s="80">
        <v>13.0</v>
      </c>
      <c r="P30" s="52" t="s">
        <v>1811</v>
      </c>
      <c r="Q30" s="52" t="s">
        <v>2848</v>
      </c>
      <c r="R30" s="52" t="s">
        <v>1811</v>
      </c>
      <c r="S30" s="52" t="s">
        <v>2849</v>
      </c>
      <c r="T30" s="52" t="s">
        <v>2850</v>
      </c>
      <c r="U30" s="52" t="s">
        <v>2851</v>
      </c>
    </row>
    <row r="31" ht="24.0" customHeight="1">
      <c r="A31" s="70">
        <v>17.0</v>
      </c>
      <c r="B31" s="71" t="s">
        <v>39</v>
      </c>
      <c r="C31" s="72" t="s">
        <v>642</v>
      </c>
      <c r="D31" s="73" t="s">
        <v>643</v>
      </c>
      <c r="E31" s="71"/>
      <c r="F31" s="73" t="s">
        <v>2853</v>
      </c>
      <c r="G31" s="74" t="s">
        <v>2782</v>
      </c>
      <c r="H31" s="73" t="s">
        <v>2818</v>
      </c>
      <c r="I31" s="77" t="s">
        <v>2774</v>
      </c>
      <c r="J31" s="74" t="b">
        <v>0</v>
      </c>
      <c r="K31" s="71"/>
      <c r="L31" s="71" t="s">
        <v>2800</v>
      </c>
      <c r="M31" s="76"/>
      <c r="O31" s="80">
        <v>14.0</v>
      </c>
      <c r="P31" s="52" t="s">
        <v>486</v>
      </c>
      <c r="Q31" s="52" t="s">
        <v>2854</v>
      </c>
      <c r="R31" s="52" t="s">
        <v>486</v>
      </c>
      <c r="S31" s="52" t="s">
        <v>2849</v>
      </c>
      <c r="T31" s="52" t="s">
        <v>2855</v>
      </c>
      <c r="U31" s="52" t="s">
        <v>2856</v>
      </c>
    </row>
    <row r="32" ht="21.0" customHeight="1">
      <c r="A32" s="70">
        <v>18.0</v>
      </c>
      <c r="B32" s="71" t="s">
        <v>39</v>
      </c>
      <c r="C32" s="72" t="s">
        <v>752</v>
      </c>
      <c r="D32" s="73" t="s">
        <v>2857</v>
      </c>
      <c r="E32" s="71"/>
      <c r="F32" s="73" t="s">
        <v>2858</v>
      </c>
      <c r="G32" s="74" t="s">
        <v>2782</v>
      </c>
      <c r="H32" s="73" t="s">
        <v>2818</v>
      </c>
      <c r="I32" s="77" t="s">
        <v>2774</v>
      </c>
      <c r="J32" s="74" t="b">
        <v>0</v>
      </c>
      <c r="K32" s="71"/>
      <c r="L32" s="71" t="s">
        <v>2800</v>
      </c>
      <c r="M32" s="76"/>
      <c r="O32" s="52">
        <v>16.0</v>
      </c>
      <c r="P32" s="52" t="s">
        <v>496</v>
      </c>
      <c r="Q32" s="52" t="s">
        <v>2854</v>
      </c>
      <c r="R32" s="52" t="s">
        <v>496</v>
      </c>
      <c r="S32" s="52" t="s">
        <v>2849</v>
      </c>
      <c r="T32" s="52" t="s">
        <v>2855</v>
      </c>
      <c r="U32" s="52" t="s">
        <v>2856</v>
      </c>
    </row>
    <row r="33" ht="21.0" customHeight="1">
      <c r="A33" s="70">
        <v>19.0</v>
      </c>
      <c r="B33" s="71" t="s">
        <v>39</v>
      </c>
      <c r="C33" s="72" t="s">
        <v>774</v>
      </c>
      <c r="D33" s="73" t="s">
        <v>2859</v>
      </c>
      <c r="E33" s="71"/>
      <c r="F33" s="73" t="s">
        <v>2860</v>
      </c>
      <c r="G33" s="74" t="s">
        <v>2782</v>
      </c>
      <c r="H33" s="73" t="s">
        <v>2818</v>
      </c>
      <c r="I33" s="77" t="s">
        <v>2774</v>
      </c>
      <c r="J33" s="74" t="b">
        <v>0</v>
      </c>
      <c r="K33" s="71"/>
      <c r="L33" s="71" t="s">
        <v>2800</v>
      </c>
      <c r="M33" s="76"/>
    </row>
    <row r="34" ht="21.0" customHeight="1">
      <c r="A34" s="70">
        <v>20.0</v>
      </c>
      <c r="B34" s="71" t="s">
        <v>39</v>
      </c>
      <c r="C34" s="72" t="s">
        <v>816</v>
      </c>
      <c r="D34" s="73" t="s">
        <v>2861</v>
      </c>
      <c r="E34" s="71"/>
      <c r="F34" s="73" t="s">
        <v>2862</v>
      </c>
      <c r="G34" s="74" t="s">
        <v>2782</v>
      </c>
      <c r="H34" s="73" t="s">
        <v>2818</v>
      </c>
      <c r="I34" s="77" t="s">
        <v>2774</v>
      </c>
      <c r="J34" s="74" t="b">
        <v>0</v>
      </c>
      <c r="K34" s="71"/>
      <c r="L34" s="71" t="s">
        <v>2800</v>
      </c>
      <c r="M34" s="76"/>
    </row>
    <row r="35" ht="21.0" customHeight="1">
      <c r="A35" s="70">
        <v>21.0</v>
      </c>
      <c r="B35" s="71" t="s">
        <v>39</v>
      </c>
      <c r="C35" s="72" t="s">
        <v>831</v>
      </c>
      <c r="D35" s="73" t="s">
        <v>2863</v>
      </c>
      <c r="E35" s="71"/>
      <c r="F35" s="73" t="s">
        <v>2864</v>
      </c>
      <c r="G35" s="74" t="s">
        <v>2782</v>
      </c>
      <c r="H35" s="73" t="s">
        <v>2818</v>
      </c>
      <c r="I35" s="77" t="s">
        <v>2774</v>
      </c>
      <c r="J35" s="74" t="b">
        <v>0</v>
      </c>
      <c r="K35" s="71"/>
      <c r="L35" s="71" t="s">
        <v>2800</v>
      </c>
      <c r="M35" s="76"/>
    </row>
    <row r="36" ht="21.0" customHeight="1">
      <c r="A36" s="70">
        <v>22.0</v>
      </c>
      <c r="B36" s="71" t="s">
        <v>39</v>
      </c>
      <c r="C36" s="72" t="s">
        <v>845</v>
      </c>
      <c r="D36" s="73" t="s">
        <v>846</v>
      </c>
      <c r="E36" s="71"/>
      <c r="F36" s="73" t="s">
        <v>2865</v>
      </c>
      <c r="G36" s="74" t="s">
        <v>2782</v>
      </c>
      <c r="H36" s="73" t="s">
        <v>2818</v>
      </c>
      <c r="I36" s="77" t="s">
        <v>2774</v>
      </c>
      <c r="J36" s="74" t="b">
        <v>0</v>
      </c>
      <c r="K36" s="71"/>
      <c r="L36" s="71" t="s">
        <v>2800</v>
      </c>
      <c r="M36" s="76"/>
    </row>
    <row r="37" ht="21.0" customHeight="1">
      <c r="A37" s="70">
        <v>23.0</v>
      </c>
      <c r="B37" s="71" t="s">
        <v>39</v>
      </c>
      <c r="C37" s="72" t="s">
        <v>887</v>
      </c>
      <c r="D37" s="73" t="s">
        <v>888</v>
      </c>
      <c r="E37" s="71"/>
      <c r="F37" s="73" t="s">
        <v>2866</v>
      </c>
      <c r="G37" s="74" t="s">
        <v>2782</v>
      </c>
      <c r="H37" s="73" t="s">
        <v>2818</v>
      </c>
      <c r="I37" s="77" t="s">
        <v>2774</v>
      </c>
      <c r="J37" s="74" t="b">
        <v>0</v>
      </c>
      <c r="K37" s="71"/>
      <c r="L37" s="71" t="s">
        <v>2800</v>
      </c>
      <c r="M37" s="76"/>
    </row>
    <row r="38" ht="21.0" customHeight="1">
      <c r="A38" s="70">
        <v>24.0</v>
      </c>
      <c r="B38" s="71" t="s">
        <v>39</v>
      </c>
      <c r="C38" s="72" t="s">
        <v>986</v>
      </c>
      <c r="D38" s="73" t="s">
        <v>987</v>
      </c>
      <c r="E38" s="71"/>
      <c r="F38" s="73" t="s">
        <v>2867</v>
      </c>
      <c r="G38" s="74" t="s">
        <v>2782</v>
      </c>
      <c r="H38" s="73" t="s">
        <v>2818</v>
      </c>
      <c r="I38" s="77" t="s">
        <v>2774</v>
      </c>
      <c r="J38" s="74" t="b">
        <v>0</v>
      </c>
      <c r="K38" s="71"/>
      <c r="L38" s="71" t="s">
        <v>2800</v>
      </c>
      <c r="M38" s="76"/>
    </row>
    <row r="39" ht="21.0" customHeight="1">
      <c r="A39" s="70">
        <v>25.0</v>
      </c>
      <c r="B39" s="71" t="s">
        <v>39</v>
      </c>
      <c r="C39" s="72" t="s">
        <v>1014</v>
      </c>
      <c r="D39" s="73" t="s">
        <v>1015</v>
      </c>
      <c r="E39" s="71"/>
      <c r="F39" s="73" t="s">
        <v>2868</v>
      </c>
      <c r="G39" s="74" t="s">
        <v>2782</v>
      </c>
      <c r="H39" s="73" t="s">
        <v>2818</v>
      </c>
      <c r="I39" s="77" t="s">
        <v>2774</v>
      </c>
      <c r="J39" s="74" t="b">
        <v>0</v>
      </c>
      <c r="K39" s="71"/>
      <c r="L39" s="71" t="s">
        <v>2800</v>
      </c>
      <c r="M39" s="76"/>
    </row>
    <row r="40" ht="21.0" customHeight="1">
      <c r="A40" s="70">
        <v>26.0</v>
      </c>
      <c r="B40" s="71" t="s">
        <v>39</v>
      </c>
      <c r="C40" s="72" t="s">
        <v>1028</v>
      </c>
      <c r="D40" s="73" t="s">
        <v>1029</v>
      </c>
      <c r="E40" s="71"/>
      <c r="F40" s="73" t="s">
        <v>2869</v>
      </c>
      <c r="G40" s="74" t="s">
        <v>2782</v>
      </c>
      <c r="H40" s="73" t="s">
        <v>2818</v>
      </c>
      <c r="I40" s="77" t="s">
        <v>2774</v>
      </c>
      <c r="J40" s="74" t="b">
        <v>0</v>
      </c>
      <c r="K40" s="71"/>
      <c r="L40" s="71" t="s">
        <v>2800</v>
      </c>
      <c r="M40" s="76"/>
    </row>
    <row r="41" ht="21.0" customHeight="1">
      <c r="A41" s="70">
        <v>27.0</v>
      </c>
      <c r="B41" s="71" t="s">
        <v>39</v>
      </c>
      <c r="C41" s="72" t="s">
        <v>1055</v>
      </c>
      <c r="D41" s="73" t="s">
        <v>2870</v>
      </c>
      <c r="E41" s="71"/>
      <c r="F41" s="73" t="s">
        <v>2871</v>
      </c>
      <c r="G41" s="74" t="s">
        <v>2782</v>
      </c>
      <c r="H41" s="73" t="s">
        <v>2818</v>
      </c>
      <c r="I41" s="77" t="s">
        <v>2774</v>
      </c>
      <c r="J41" s="74" t="b">
        <v>0</v>
      </c>
      <c r="K41" s="71"/>
      <c r="L41" s="71" t="s">
        <v>2800</v>
      </c>
      <c r="M41" s="76"/>
    </row>
    <row r="42" ht="21.0" customHeight="1">
      <c r="A42" s="70">
        <v>28.0</v>
      </c>
      <c r="B42" s="71" t="s">
        <v>39</v>
      </c>
      <c r="C42" s="72" t="s">
        <v>1069</v>
      </c>
      <c r="D42" s="73" t="s">
        <v>2872</v>
      </c>
      <c r="E42" s="71"/>
      <c r="F42" s="73" t="s">
        <v>2873</v>
      </c>
      <c r="G42" s="74" t="s">
        <v>2782</v>
      </c>
      <c r="H42" s="73" t="s">
        <v>2818</v>
      </c>
      <c r="I42" s="77" t="s">
        <v>2774</v>
      </c>
      <c r="J42" s="74" t="b">
        <v>0</v>
      </c>
      <c r="K42" s="71"/>
      <c r="L42" s="71" t="s">
        <v>2800</v>
      </c>
      <c r="M42" s="76"/>
    </row>
    <row r="43" ht="21.0" customHeight="1">
      <c r="A43" s="70">
        <v>29.0</v>
      </c>
      <c r="B43" s="71" t="s">
        <v>43</v>
      </c>
      <c r="C43" s="72" t="s">
        <v>1542</v>
      </c>
      <c r="D43" s="73" t="s">
        <v>1543</v>
      </c>
      <c r="E43" s="71"/>
      <c r="F43" s="73" t="s">
        <v>2874</v>
      </c>
      <c r="G43" s="74" t="s">
        <v>2782</v>
      </c>
      <c r="H43" s="73" t="s">
        <v>2818</v>
      </c>
      <c r="I43" s="77" t="s">
        <v>2774</v>
      </c>
      <c r="J43" s="74" t="b">
        <v>0</v>
      </c>
      <c r="K43" s="71"/>
      <c r="L43" s="71" t="s">
        <v>2800</v>
      </c>
      <c r="M43" s="76"/>
    </row>
    <row r="44" ht="21.0" customHeight="1">
      <c r="A44" s="70">
        <v>30.0</v>
      </c>
      <c r="B44" s="71" t="s">
        <v>43</v>
      </c>
      <c r="C44" s="72" t="s">
        <v>1569</v>
      </c>
      <c r="D44" s="73" t="s">
        <v>1570</v>
      </c>
      <c r="E44" s="71"/>
      <c r="F44" s="73" t="s">
        <v>2875</v>
      </c>
      <c r="G44" s="74" t="s">
        <v>2782</v>
      </c>
      <c r="H44" s="73" t="s">
        <v>2818</v>
      </c>
      <c r="I44" s="77" t="s">
        <v>2774</v>
      </c>
      <c r="J44" s="74" t="b">
        <v>0</v>
      </c>
      <c r="K44" s="71"/>
      <c r="L44" s="71" t="s">
        <v>2800</v>
      </c>
      <c r="M44" s="76"/>
    </row>
    <row r="45" ht="21.0" customHeight="1">
      <c r="A45" s="70">
        <v>31.0</v>
      </c>
      <c r="B45" s="71" t="s">
        <v>43</v>
      </c>
      <c r="C45" s="72" t="s">
        <v>1617</v>
      </c>
      <c r="D45" s="73" t="s">
        <v>2876</v>
      </c>
      <c r="E45" s="71"/>
      <c r="F45" s="73" t="s">
        <v>2877</v>
      </c>
      <c r="G45" s="74" t="s">
        <v>2782</v>
      </c>
      <c r="H45" s="73" t="s">
        <v>2818</v>
      </c>
      <c r="I45" s="77" t="s">
        <v>2774</v>
      </c>
      <c r="J45" s="74" t="b">
        <v>0</v>
      </c>
      <c r="K45" s="71"/>
      <c r="L45" s="71" t="s">
        <v>2800</v>
      </c>
      <c r="M45" s="76"/>
    </row>
    <row r="46" ht="21.0" customHeight="1">
      <c r="A46" s="70">
        <v>32.0</v>
      </c>
      <c r="B46" s="71" t="s">
        <v>43</v>
      </c>
      <c r="C46" s="72" t="s">
        <v>1638</v>
      </c>
      <c r="D46" s="73" t="s">
        <v>1639</v>
      </c>
      <c r="E46" s="71"/>
      <c r="F46" s="73" t="s">
        <v>2878</v>
      </c>
      <c r="G46" s="74" t="s">
        <v>2782</v>
      </c>
      <c r="H46" s="73" t="s">
        <v>2818</v>
      </c>
      <c r="I46" s="77" t="s">
        <v>2774</v>
      </c>
      <c r="J46" s="74" t="b">
        <v>0</v>
      </c>
      <c r="K46" s="71"/>
      <c r="L46" s="71" t="s">
        <v>2800</v>
      </c>
      <c r="M46" s="76"/>
    </row>
    <row r="47" ht="21.0" customHeight="1">
      <c r="A47" s="70">
        <v>33.0</v>
      </c>
      <c r="B47" s="71" t="s">
        <v>43</v>
      </c>
      <c r="C47" s="72" t="s">
        <v>1678</v>
      </c>
      <c r="D47" s="73" t="s">
        <v>1679</v>
      </c>
      <c r="E47" s="71"/>
      <c r="F47" s="73" t="s">
        <v>2879</v>
      </c>
      <c r="G47" s="74" t="s">
        <v>2782</v>
      </c>
      <c r="H47" s="73" t="s">
        <v>2818</v>
      </c>
      <c r="I47" s="77" t="s">
        <v>2774</v>
      </c>
      <c r="J47" s="74" t="b">
        <v>0</v>
      </c>
      <c r="K47" s="71"/>
      <c r="L47" s="71" t="s">
        <v>2800</v>
      </c>
      <c r="M47" s="76"/>
    </row>
    <row r="48" ht="21.0" customHeight="1">
      <c r="A48" s="70">
        <v>34.0</v>
      </c>
      <c r="B48" s="71" t="s">
        <v>43</v>
      </c>
      <c r="C48" s="72" t="s">
        <v>1705</v>
      </c>
      <c r="D48" s="73" t="s">
        <v>1706</v>
      </c>
      <c r="E48" s="71"/>
      <c r="F48" s="73" t="s">
        <v>2880</v>
      </c>
      <c r="G48" s="74" t="s">
        <v>2782</v>
      </c>
      <c r="H48" s="73" t="s">
        <v>2818</v>
      </c>
      <c r="I48" s="77" t="s">
        <v>2774</v>
      </c>
      <c r="J48" s="74" t="b">
        <v>0</v>
      </c>
      <c r="K48" s="71"/>
      <c r="L48" s="71" t="s">
        <v>2800</v>
      </c>
      <c r="M48" s="76"/>
    </row>
    <row r="49" ht="21.0" customHeight="1">
      <c r="A49" s="70">
        <v>35.0</v>
      </c>
      <c r="B49" s="71" t="s">
        <v>43</v>
      </c>
      <c r="C49" s="72" t="s">
        <v>1720</v>
      </c>
      <c r="D49" s="73" t="s">
        <v>1721</v>
      </c>
      <c r="E49" s="71"/>
      <c r="F49" s="73" t="s">
        <v>2881</v>
      </c>
      <c r="G49" s="74" t="s">
        <v>2782</v>
      </c>
      <c r="H49" s="73" t="s">
        <v>2818</v>
      </c>
      <c r="I49" s="77" t="s">
        <v>2774</v>
      </c>
      <c r="J49" s="74" t="b">
        <v>0</v>
      </c>
      <c r="K49" s="71"/>
      <c r="L49" s="71" t="s">
        <v>2800</v>
      </c>
      <c r="M49" s="76"/>
    </row>
    <row r="50" ht="21.0" customHeight="1">
      <c r="A50" s="70">
        <v>36.0</v>
      </c>
      <c r="B50" s="71" t="s">
        <v>43</v>
      </c>
      <c r="C50" s="72" t="s">
        <v>1735</v>
      </c>
      <c r="D50" s="73" t="s">
        <v>1736</v>
      </c>
      <c r="E50" s="71"/>
      <c r="F50" s="73" t="s">
        <v>2882</v>
      </c>
      <c r="G50" s="74" t="s">
        <v>2782</v>
      </c>
      <c r="H50" s="73" t="s">
        <v>2818</v>
      </c>
      <c r="I50" s="77" t="s">
        <v>2774</v>
      </c>
      <c r="J50" s="74" t="b">
        <v>0</v>
      </c>
      <c r="K50" s="71"/>
      <c r="L50" s="71" t="s">
        <v>2800</v>
      </c>
      <c r="M50" s="76"/>
    </row>
    <row r="51" ht="21.0" customHeight="1">
      <c r="A51" s="70">
        <v>37.0</v>
      </c>
      <c r="B51" s="71" t="s">
        <v>43</v>
      </c>
      <c r="C51" s="72" t="s">
        <v>1756</v>
      </c>
      <c r="D51" s="73" t="s">
        <v>2883</v>
      </c>
      <c r="E51" s="71"/>
      <c r="F51" s="73" t="s">
        <v>2884</v>
      </c>
      <c r="G51" s="74" t="s">
        <v>2782</v>
      </c>
      <c r="H51" s="73" t="s">
        <v>2818</v>
      </c>
      <c r="I51" s="77" t="s">
        <v>2774</v>
      </c>
      <c r="J51" s="74" t="b">
        <v>0</v>
      </c>
      <c r="K51" s="71"/>
      <c r="L51" s="71" t="s">
        <v>2800</v>
      </c>
      <c r="M51" s="76"/>
    </row>
    <row r="52" ht="21.0" customHeight="1">
      <c r="A52" s="70">
        <v>38.0</v>
      </c>
      <c r="B52" s="71" t="s">
        <v>43</v>
      </c>
      <c r="C52" s="72" t="s">
        <v>1812</v>
      </c>
      <c r="D52" s="73" t="s">
        <v>2885</v>
      </c>
      <c r="E52" s="71"/>
      <c r="F52" s="73" t="s">
        <v>2886</v>
      </c>
      <c r="G52" s="74" t="s">
        <v>2782</v>
      </c>
      <c r="H52" s="73" t="s">
        <v>2818</v>
      </c>
      <c r="I52" s="77" t="s">
        <v>2774</v>
      </c>
      <c r="J52" s="74" t="b">
        <v>0</v>
      </c>
      <c r="K52" s="71"/>
      <c r="L52" s="71" t="s">
        <v>2800</v>
      </c>
      <c r="M52" s="76"/>
    </row>
    <row r="53" ht="21.0" customHeight="1">
      <c r="A53" s="70">
        <v>39.0</v>
      </c>
      <c r="B53" s="71" t="s">
        <v>43</v>
      </c>
      <c r="C53" s="72" t="s">
        <v>1862</v>
      </c>
      <c r="D53" s="73" t="s">
        <v>2887</v>
      </c>
      <c r="E53" s="71"/>
      <c r="F53" s="73" t="s">
        <v>2888</v>
      </c>
      <c r="G53" s="74" t="s">
        <v>2782</v>
      </c>
      <c r="H53" s="73" t="s">
        <v>2818</v>
      </c>
      <c r="I53" s="77" t="s">
        <v>2774</v>
      </c>
      <c r="J53" s="74" t="b">
        <v>0</v>
      </c>
      <c r="K53" s="71"/>
      <c r="L53" s="71" t="s">
        <v>2800</v>
      </c>
      <c r="M53" s="76"/>
    </row>
    <row r="54" ht="21.0" customHeight="1">
      <c r="A54" s="70">
        <v>40.0</v>
      </c>
      <c r="B54" s="71" t="s">
        <v>43</v>
      </c>
      <c r="C54" s="72" t="s">
        <v>1947</v>
      </c>
      <c r="D54" s="73" t="s">
        <v>1948</v>
      </c>
      <c r="E54" s="71"/>
      <c r="F54" s="73" t="s">
        <v>2889</v>
      </c>
      <c r="G54" s="74" t="s">
        <v>2782</v>
      </c>
      <c r="H54" s="73" t="s">
        <v>2818</v>
      </c>
      <c r="I54" s="77" t="s">
        <v>2774</v>
      </c>
      <c r="J54" s="74" t="b">
        <v>0</v>
      </c>
      <c r="K54" s="71"/>
      <c r="L54" s="71" t="s">
        <v>2800</v>
      </c>
      <c r="M54" s="76"/>
    </row>
    <row r="55" ht="21.0" customHeight="1">
      <c r="A55" s="70">
        <v>41.0</v>
      </c>
      <c r="B55" s="71" t="s">
        <v>43</v>
      </c>
      <c r="C55" s="72" t="s">
        <v>1979</v>
      </c>
      <c r="D55" s="73" t="s">
        <v>2890</v>
      </c>
      <c r="E55" s="71"/>
      <c r="F55" s="73" t="s">
        <v>2891</v>
      </c>
      <c r="G55" s="74" t="s">
        <v>2782</v>
      </c>
      <c r="H55" s="73" t="s">
        <v>2818</v>
      </c>
      <c r="I55" s="77" t="s">
        <v>2774</v>
      </c>
      <c r="J55" s="74" t="b">
        <v>0</v>
      </c>
      <c r="K55" s="71"/>
      <c r="L55" s="71" t="s">
        <v>2800</v>
      </c>
      <c r="M55" s="76"/>
    </row>
    <row r="56" ht="21.0" customHeight="1">
      <c r="A56" s="70">
        <v>42.0</v>
      </c>
      <c r="B56" s="71" t="s">
        <v>43</v>
      </c>
      <c r="C56" s="72" t="s">
        <v>2071</v>
      </c>
      <c r="D56" s="73" t="s">
        <v>2892</v>
      </c>
      <c r="E56" s="71"/>
      <c r="F56" s="73" t="s">
        <v>2893</v>
      </c>
      <c r="G56" s="74" t="s">
        <v>2782</v>
      </c>
      <c r="H56" s="73" t="s">
        <v>2818</v>
      </c>
      <c r="I56" s="77" t="s">
        <v>2774</v>
      </c>
      <c r="J56" s="74" t="b">
        <v>0</v>
      </c>
      <c r="K56" s="71"/>
      <c r="L56" s="71" t="s">
        <v>2800</v>
      </c>
      <c r="M56" s="76"/>
    </row>
    <row r="57" ht="21.0" customHeight="1">
      <c r="A57" s="70">
        <v>43.0</v>
      </c>
      <c r="B57" s="71" t="s">
        <v>43</v>
      </c>
      <c r="C57" s="72" t="s">
        <v>2136</v>
      </c>
      <c r="D57" s="73" t="s">
        <v>2137</v>
      </c>
      <c r="E57" s="71"/>
      <c r="F57" s="73" t="s">
        <v>2894</v>
      </c>
      <c r="G57" s="74" t="s">
        <v>2782</v>
      </c>
      <c r="H57" s="73" t="s">
        <v>2818</v>
      </c>
      <c r="I57" s="77" t="s">
        <v>2774</v>
      </c>
      <c r="J57" s="74" t="b">
        <v>0</v>
      </c>
      <c r="K57" s="71"/>
      <c r="L57" s="71" t="s">
        <v>2800</v>
      </c>
      <c r="M57" s="76"/>
    </row>
    <row r="58" ht="21.0" customHeight="1">
      <c r="A58" s="70">
        <v>44.0</v>
      </c>
      <c r="B58" s="71" t="s">
        <v>49</v>
      </c>
      <c r="C58" s="72" t="s">
        <v>2365</v>
      </c>
      <c r="D58" s="73" t="s">
        <v>2895</v>
      </c>
      <c r="E58" s="71"/>
      <c r="F58" s="73" t="s">
        <v>2896</v>
      </c>
      <c r="G58" s="74" t="s">
        <v>2782</v>
      </c>
      <c r="H58" s="73" t="s">
        <v>2818</v>
      </c>
      <c r="I58" s="77" t="s">
        <v>2774</v>
      </c>
      <c r="J58" s="74" t="b">
        <v>0</v>
      </c>
      <c r="K58" s="71"/>
      <c r="L58" s="71" t="s">
        <v>2800</v>
      </c>
      <c r="M58" s="76"/>
    </row>
    <row r="59" ht="21.0" customHeight="1">
      <c r="A59" s="70">
        <v>45.0</v>
      </c>
      <c r="B59" s="71" t="s">
        <v>49</v>
      </c>
      <c r="C59" s="72" t="s">
        <v>2380</v>
      </c>
      <c r="D59" s="73" t="s">
        <v>2897</v>
      </c>
      <c r="E59" s="71"/>
      <c r="F59" s="73" t="s">
        <v>2898</v>
      </c>
      <c r="G59" s="74" t="s">
        <v>2782</v>
      </c>
      <c r="H59" s="73" t="s">
        <v>2818</v>
      </c>
      <c r="I59" s="77" t="s">
        <v>2774</v>
      </c>
      <c r="J59" s="74" t="b">
        <v>0</v>
      </c>
      <c r="K59" s="71"/>
      <c r="L59" s="71" t="s">
        <v>2800</v>
      </c>
      <c r="M59" s="76"/>
    </row>
    <row r="60" ht="21.0" customHeight="1">
      <c r="A60" s="70">
        <v>46.0</v>
      </c>
      <c r="B60" s="71" t="s">
        <v>49</v>
      </c>
      <c r="C60" s="72" t="s">
        <v>2402</v>
      </c>
      <c r="D60" s="73" t="s">
        <v>2899</v>
      </c>
      <c r="E60" s="71"/>
      <c r="F60" s="73" t="s">
        <v>2900</v>
      </c>
      <c r="G60" s="74" t="s">
        <v>2782</v>
      </c>
      <c r="H60" s="73" t="s">
        <v>2818</v>
      </c>
      <c r="I60" s="77" t="s">
        <v>2774</v>
      </c>
      <c r="J60" s="74" t="b">
        <v>0</v>
      </c>
      <c r="K60" s="71"/>
      <c r="L60" s="71" t="s">
        <v>2800</v>
      </c>
      <c r="M60" s="76"/>
    </row>
    <row r="61" ht="21.0" customHeight="1">
      <c r="A61" s="70">
        <v>47.0</v>
      </c>
      <c r="B61" s="71" t="s">
        <v>49</v>
      </c>
      <c r="C61" s="72" t="s">
        <v>2439</v>
      </c>
      <c r="D61" s="73" t="s">
        <v>2901</v>
      </c>
      <c r="E61" s="71"/>
      <c r="F61" s="73" t="s">
        <v>2902</v>
      </c>
      <c r="G61" s="74" t="s">
        <v>2782</v>
      </c>
      <c r="H61" s="73" t="s">
        <v>2818</v>
      </c>
      <c r="I61" s="77" t="s">
        <v>2774</v>
      </c>
      <c r="J61" s="74" t="b">
        <v>0</v>
      </c>
      <c r="K61" s="71"/>
      <c r="L61" s="71" t="s">
        <v>2800</v>
      </c>
      <c r="M61" s="76"/>
    </row>
    <row r="62" ht="21.0" customHeight="1">
      <c r="A62" s="70">
        <v>48.0</v>
      </c>
      <c r="B62" s="71" t="s">
        <v>49</v>
      </c>
      <c r="C62" s="72" t="s">
        <v>2462</v>
      </c>
      <c r="D62" s="73" t="s">
        <v>2903</v>
      </c>
      <c r="E62" s="71"/>
      <c r="F62" s="73" t="s">
        <v>2904</v>
      </c>
      <c r="G62" s="74" t="s">
        <v>2782</v>
      </c>
      <c r="H62" s="73" t="s">
        <v>2818</v>
      </c>
      <c r="I62" s="77" t="s">
        <v>2774</v>
      </c>
      <c r="J62" s="74" t="b">
        <v>0</v>
      </c>
      <c r="K62" s="71"/>
      <c r="L62" s="71" t="s">
        <v>2800</v>
      </c>
      <c r="M62" s="76"/>
    </row>
    <row r="63" ht="21.0" customHeight="1">
      <c r="A63" s="70">
        <v>49.0</v>
      </c>
      <c r="B63" s="71" t="s">
        <v>49</v>
      </c>
      <c r="C63" s="72" t="s">
        <v>2484</v>
      </c>
      <c r="D63" s="73" t="s">
        <v>2905</v>
      </c>
      <c r="E63" s="71"/>
      <c r="F63" s="73" t="s">
        <v>2906</v>
      </c>
      <c r="G63" s="74" t="s">
        <v>2782</v>
      </c>
      <c r="H63" s="73" t="s">
        <v>2818</v>
      </c>
      <c r="I63" s="77" t="s">
        <v>2774</v>
      </c>
      <c r="J63" s="74" t="b">
        <v>0</v>
      </c>
      <c r="K63" s="71"/>
      <c r="L63" s="71" t="s">
        <v>2800</v>
      </c>
      <c r="M63" s="76"/>
    </row>
    <row r="64" ht="21.0" customHeight="1">
      <c r="A64" s="70">
        <v>50.0</v>
      </c>
      <c r="B64" s="71" t="s">
        <v>49</v>
      </c>
      <c r="C64" s="72" t="s">
        <v>2499</v>
      </c>
      <c r="D64" s="73" t="s">
        <v>2907</v>
      </c>
      <c r="E64" s="71"/>
      <c r="F64" s="73" t="s">
        <v>2908</v>
      </c>
      <c r="G64" s="74" t="s">
        <v>2782</v>
      </c>
      <c r="H64" s="73" t="s">
        <v>2818</v>
      </c>
      <c r="I64" s="77" t="s">
        <v>2774</v>
      </c>
      <c r="J64" s="74" t="b">
        <v>0</v>
      </c>
      <c r="K64" s="71"/>
      <c r="L64" s="71" t="s">
        <v>2800</v>
      </c>
      <c r="M64" s="76"/>
    </row>
    <row r="65" ht="21.0" customHeight="1">
      <c r="A65" s="70">
        <v>51.0</v>
      </c>
      <c r="B65" s="71" t="s">
        <v>49</v>
      </c>
      <c r="C65" s="72" t="s">
        <v>2519</v>
      </c>
      <c r="D65" s="73" t="s">
        <v>2909</v>
      </c>
      <c r="E65" s="71"/>
      <c r="F65" s="73" t="s">
        <v>2910</v>
      </c>
      <c r="G65" s="74" t="s">
        <v>2782</v>
      </c>
      <c r="H65" s="73" t="s">
        <v>2818</v>
      </c>
      <c r="I65" s="77" t="s">
        <v>2774</v>
      </c>
      <c r="J65" s="74" t="b">
        <v>0</v>
      </c>
      <c r="K65" s="71"/>
      <c r="L65" s="71" t="s">
        <v>2800</v>
      </c>
      <c r="M65" s="76"/>
    </row>
    <row r="66" ht="21.0" customHeight="1">
      <c r="A66" s="70">
        <v>52.0</v>
      </c>
      <c r="B66" s="71" t="s">
        <v>49</v>
      </c>
      <c r="C66" s="72" t="s">
        <v>2554</v>
      </c>
      <c r="D66" s="73" t="s">
        <v>2911</v>
      </c>
      <c r="E66" s="71"/>
      <c r="F66" s="73" t="s">
        <v>2912</v>
      </c>
      <c r="G66" s="74" t="s">
        <v>2782</v>
      </c>
      <c r="H66" s="73" t="s">
        <v>2818</v>
      </c>
      <c r="I66" s="77" t="s">
        <v>2774</v>
      </c>
      <c r="J66" s="74" t="b">
        <v>0</v>
      </c>
      <c r="K66" s="71"/>
      <c r="L66" s="71" t="s">
        <v>2800</v>
      </c>
      <c r="M66" s="76"/>
    </row>
    <row r="67" ht="21.0" customHeight="1">
      <c r="A67" s="70">
        <v>53.0</v>
      </c>
      <c r="B67" s="71" t="s">
        <v>49</v>
      </c>
      <c r="C67" s="72" t="s">
        <v>2576</v>
      </c>
      <c r="D67" s="73" t="s">
        <v>2913</v>
      </c>
      <c r="E67" s="71"/>
      <c r="F67" s="73" t="s">
        <v>2914</v>
      </c>
      <c r="G67" s="74" t="s">
        <v>2782</v>
      </c>
      <c r="H67" s="73" t="s">
        <v>2818</v>
      </c>
      <c r="I67" s="77" t="s">
        <v>2774</v>
      </c>
      <c r="J67" s="74" t="b">
        <v>0</v>
      </c>
      <c r="K67" s="71"/>
      <c r="L67" s="71" t="s">
        <v>2800</v>
      </c>
      <c r="M67" s="76"/>
    </row>
    <row r="68" ht="21.0" customHeight="1">
      <c r="A68" s="70">
        <v>54.0</v>
      </c>
      <c r="B68" s="71" t="s">
        <v>49</v>
      </c>
      <c r="C68" s="72" t="s">
        <v>2605</v>
      </c>
      <c r="D68" s="73" t="s">
        <v>2915</v>
      </c>
      <c r="E68" s="71"/>
      <c r="F68" s="73" t="s">
        <v>2916</v>
      </c>
      <c r="G68" s="74" t="s">
        <v>2782</v>
      </c>
      <c r="H68" s="73" t="s">
        <v>2818</v>
      </c>
      <c r="I68" s="77" t="s">
        <v>2774</v>
      </c>
      <c r="J68" s="74" t="b">
        <v>0</v>
      </c>
      <c r="K68" s="71"/>
      <c r="L68" s="71" t="s">
        <v>2800</v>
      </c>
      <c r="M68" s="76"/>
    </row>
    <row r="69" ht="21.0" customHeight="1">
      <c r="A69" s="70">
        <v>55.0</v>
      </c>
      <c r="B69" s="71" t="s">
        <v>49</v>
      </c>
      <c r="C69" s="72" t="s">
        <v>2620</v>
      </c>
      <c r="D69" s="73" t="s">
        <v>2917</v>
      </c>
      <c r="E69" s="71"/>
      <c r="F69" s="73" t="s">
        <v>2918</v>
      </c>
      <c r="G69" s="74" t="s">
        <v>2782</v>
      </c>
      <c r="H69" s="73" t="s">
        <v>2818</v>
      </c>
      <c r="I69" s="77" t="s">
        <v>2774</v>
      </c>
      <c r="J69" s="74" t="b">
        <v>0</v>
      </c>
      <c r="K69" s="71"/>
      <c r="L69" s="71" t="s">
        <v>2800</v>
      </c>
      <c r="M69" s="76"/>
    </row>
    <row r="70" ht="21.0" customHeight="1">
      <c r="A70" s="70">
        <v>56.0</v>
      </c>
      <c r="B70" s="71" t="s">
        <v>49</v>
      </c>
      <c r="C70" s="72" t="s">
        <v>2665</v>
      </c>
      <c r="D70" s="73" t="s">
        <v>2919</v>
      </c>
      <c r="E70" s="71"/>
      <c r="F70" s="73" t="s">
        <v>2920</v>
      </c>
      <c r="G70" s="74" t="s">
        <v>2782</v>
      </c>
      <c r="H70" s="73" t="s">
        <v>2818</v>
      </c>
      <c r="I70" s="77" t="s">
        <v>2774</v>
      </c>
      <c r="J70" s="74" t="b">
        <v>0</v>
      </c>
      <c r="K70" s="71"/>
      <c r="L70" s="71" t="s">
        <v>2800</v>
      </c>
      <c r="M70" s="76"/>
    </row>
    <row r="71" ht="21.0" customHeight="1">
      <c r="A71" s="70">
        <v>57.0</v>
      </c>
      <c r="B71" s="71" t="s">
        <v>41</v>
      </c>
      <c r="C71" s="72" t="s">
        <v>1103</v>
      </c>
      <c r="D71" s="73" t="s">
        <v>2921</v>
      </c>
      <c r="E71" s="71"/>
      <c r="F71" s="73" t="s">
        <v>2922</v>
      </c>
      <c r="G71" s="74" t="s">
        <v>2782</v>
      </c>
      <c r="H71" s="73" t="s">
        <v>2818</v>
      </c>
      <c r="I71" s="77" t="s">
        <v>2774</v>
      </c>
      <c r="J71" s="74" t="b">
        <v>0</v>
      </c>
      <c r="K71" s="71"/>
      <c r="L71" s="71" t="s">
        <v>2800</v>
      </c>
      <c r="M71" s="76"/>
    </row>
    <row r="72" ht="21.0" customHeight="1">
      <c r="A72" s="70">
        <v>58.0</v>
      </c>
      <c r="B72" s="71" t="s">
        <v>41</v>
      </c>
      <c r="C72" s="72" t="s">
        <v>1156</v>
      </c>
      <c r="D72" s="73" t="s">
        <v>1157</v>
      </c>
      <c r="E72" s="71"/>
      <c r="F72" s="73" t="s">
        <v>2923</v>
      </c>
      <c r="G72" s="74" t="s">
        <v>2782</v>
      </c>
      <c r="H72" s="73" t="s">
        <v>2818</v>
      </c>
      <c r="I72" s="77" t="s">
        <v>2774</v>
      </c>
      <c r="J72" s="74" t="b">
        <v>0</v>
      </c>
      <c r="K72" s="71"/>
      <c r="L72" s="71" t="s">
        <v>2800</v>
      </c>
      <c r="M72" s="76"/>
    </row>
    <row r="73" ht="21.0" customHeight="1">
      <c r="A73" s="70">
        <v>59.0</v>
      </c>
      <c r="B73" s="71" t="s">
        <v>41</v>
      </c>
      <c r="C73" s="72" t="s">
        <v>1211</v>
      </c>
      <c r="D73" s="73" t="s">
        <v>1212</v>
      </c>
      <c r="E73" s="71"/>
      <c r="F73" s="73" t="s">
        <v>2924</v>
      </c>
      <c r="G73" s="74" t="s">
        <v>2782</v>
      </c>
      <c r="H73" s="73" t="s">
        <v>2818</v>
      </c>
      <c r="I73" s="77" t="s">
        <v>2774</v>
      </c>
      <c r="J73" s="74" t="b">
        <v>0</v>
      </c>
      <c r="K73" s="71"/>
      <c r="L73" s="71" t="s">
        <v>2800</v>
      </c>
      <c r="M73" s="76"/>
    </row>
    <row r="74" ht="21.0" customHeight="1">
      <c r="A74" s="70">
        <v>60.0</v>
      </c>
      <c r="B74" s="71" t="s">
        <v>41</v>
      </c>
      <c r="C74" s="72" t="s">
        <v>1232</v>
      </c>
      <c r="D74" s="73" t="s">
        <v>1233</v>
      </c>
      <c r="E74" s="71"/>
      <c r="F74" s="73" t="s">
        <v>2925</v>
      </c>
      <c r="G74" s="74" t="s">
        <v>2782</v>
      </c>
      <c r="H74" s="73" t="s">
        <v>2818</v>
      </c>
      <c r="I74" s="77" t="s">
        <v>2774</v>
      </c>
      <c r="J74" s="74" t="b">
        <v>0</v>
      </c>
      <c r="K74" s="71"/>
      <c r="L74" s="71" t="s">
        <v>2800</v>
      </c>
      <c r="M74" s="76"/>
    </row>
    <row r="75" ht="21.0" customHeight="1">
      <c r="A75" s="70">
        <v>61.0</v>
      </c>
      <c r="B75" s="71" t="s">
        <v>41</v>
      </c>
      <c r="C75" s="72" t="s">
        <v>1251</v>
      </c>
      <c r="D75" s="73" t="s">
        <v>2926</v>
      </c>
      <c r="E75" s="71"/>
      <c r="F75" s="73" t="s">
        <v>2927</v>
      </c>
      <c r="G75" s="74" t="s">
        <v>2782</v>
      </c>
      <c r="H75" s="73" t="s">
        <v>2818</v>
      </c>
      <c r="I75" s="77" t="s">
        <v>2774</v>
      </c>
      <c r="J75" s="74" t="b">
        <v>0</v>
      </c>
      <c r="K75" s="71"/>
      <c r="L75" s="71" t="s">
        <v>2800</v>
      </c>
      <c r="M75" s="76"/>
    </row>
    <row r="76" ht="21.0" customHeight="1">
      <c r="A76" s="70">
        <v>62.0</v>
      </c>
      <c r="B76" s="71" t="s">
        <v>41</v>
      </c>
      <c r="C76" s="72" t="s">
        <v>1315</v>
      </c>
      <c r="D76" s="73" t="s">
        <v>2928</v>
      </c>
      <c r="E76" s="71"/>
      <c r="F76" s="73" t="s">
        <v>2929</v>
      </c>
      <c r="G76" s="74" t="s">
        <v>2782</v>
      </c>
      <c r="H76" s="73" t="s">
        <v>2818</v>
      </c>
      <c r="I76" s="77" t="s">
        <v>2774</v>
      </c>
      <c r="J76" s="74" t="b">
        <v>0</v>
      </c>
      <c r="K76" s="71"/>
      <c r="L76" s="71" t="s">
        <v>2800</v>
      </c>
      <c r="M76" s="76"/>
    </row>
    <row r="77" ht="21.0" customHeight="1">
      <c r="A77" s="70">
        <v>63.0</v>
      </c>
      <c r="B77" s="71" t="s">
        <v>41</v>
      </c>
      <c r="C77" s="81" t="s">
        <v>1387</v>
      </c>
      <c r="D77" s="73" t="s">
        <v>2930</v>
      </c>
      <c r="E77" s="71"/>
      <c r="F77" s="73" t="s">
        <v>2931</v>
      </c>
      <c r="G77" s="74" t="s">
        <v>2782</v>
      </c>
      <c r="H77" s="73" t="s">
        <v>2932</v>
      </c>
      <c r="I77" s="77" t="s">
        <v>2774</v>
      </c>
      <c r="J77" s="74" t="b">
        <v>0</v>
      </c>
      <c r="K77" s="71"/>
      <c r="L77" s="71" t="s">
        <v>2800</v>
      </c>
      <c r="M77" s="76"/>
    </row>
    <row r="78" ht="21.0" customHeight="1">
      <c r="A78" s="70">
        <v>64.0</v>
      </c>
      <c r="B78" s="71" t="s">
        <v>41</v>
      </c>
      <c r="C78" s="72" t="s">
        <v>1499</v>
      </c>
      <c r="D78" s="73" t="s">
        <v>1500</v>
      </c>
      <c r="E78" s="71"/>
      <c r="F78" s="73" t="s">
        <v>2933</v>
      </c>
      <c r="G78" s="74" t="s">
        <v>2782</v>
      </c>
      <c r="H78" s="73" t="s">
        <v>2818</v>
      </c>
      <c r="I78" s="77" t="s">
        <v>2774</v>
      </c>
      <c r="J78" s="74" t="b">
        <v>0</v>
      </c>
      <c r="K78" s="71"/>
      <c r="L78" s="71" t="s">
        <v>2800</v>
      </c>
      <c r="M78" s="76"/>
    </row>
    <row r="79" ht="21.0" customHeight="1">
      <c r="A79" s="70">
        <v>65.0</v>
      </c>
      <c r="B79" s="71" t="s">
        <v>47</v>
      </c>
      <c r="C79" s="72" t="s">
        <v>2337</v>
      </c>
      <c r="D79" s="73" t="s">
        <v>2338</v>
      </c>
      <c r="E79" s="71"/>
      <c r="F79" s="73" t="s">
        <v>2934</v>
      </c>
      <c r="G79" s="74" t="s">
        <v>2782</v>
      </c>
      <c r="H79" s="73" t="s">
        <v>2818</v>
      </c>
      <c r="I79" s="77" t="s">
        <v>2774</v>
      </c>
      <c r="J79" s="74" t="b">
        <v>0</v>
      </c>
      <c r="K79" s="71"/>
      <c r="L79" s="71" t="s">
        <v>2800</v>
      </c>
      <c r="M79" s="76"/>
    </row>
    <row r="80" ht="21.0" customHeight="1">
      <c r="A80" s="70">
        <v>66.0</v>
      </c>
      <c r="B80" s="71" t="s">
        <v>45</v>
      </c>
      <c r="C80" s="72" t="s">
        <v>2203</v>
      </c>
      <c r="D80" s="73" t="s">
        <v>2204</v>
      </c>
      <c r="E80" s="71"/>
      <c r="F80" s="73" t="s">
        <v>2935</v>
      </c>
      <c r="G80" s="74" t="s">
        <v>2782</v>
      </c>
      <c r="H80" s="73" t="s">
        <v>2818</v>
      </c>
      <c r="I80" s="77" t="s">
        <v>2774</v>
      </c>
      <c r="J80" s="74" t="b">
        <v>0</v>
      </c>
      <c r="K80" s="71"/>
      <c r="L80" s="71" t="s">
        <v>2800</v>
      </c>
      <c r="M80" s="76"/>
    </row>
    <row r="81" ht="21.0" customHeight="1">
      <c r="A81" s="70">
        <v>67.0</v>
      </c>
      <c r="B81" s="71" t="s">
        <v>45</v>
      </c>
      <c r="C81" s="72" t="s">
        <v>2270</v>
      </c>
      <c r="D81" s="73" t="s">
        <v>2271</v>
      </c>
      <c r="E81" s="71"/>
      <c r="F81" s="73" t="s">
        <v>2936</v>
      </c>
      <c r="G81" s="74" t="s">
        <v>2782</v>
      </c>
      <c r="H81" s="73" t="s">
        <v>2818</v>
      </c>
      <c r="I81" s="77" t="s">
        <v>2774</v>
      </c>
      <c r="J81" s="74" t="b">
        <v>0</v>
      </c>
      <c r="K81" s="71"/>
      <c r="L81" s="71" t="s">
        <v>2800</v>
      </c>
      <c r="M81" s="76"/>
    </row>
    <row r="82" ht="21.0" customHeight="1">
      <c r="A82" s="70">
        <v>68.0</v>
      </c>
      <c r="B82" s="71" t="s">
        <v>45</v>
      </c>
      <c r="C82" s="72" t="s">
        <v>2294</v>
      </c>
      <c r="D82" s="73" t="s">
        <v>2937</v>
      </c>
      <c r="E82" s="71"/>
      <c r="F82" s="73" t="s">
        <v>2938</v>
      </c>
      <c r="G82" s="74" t="s">
        <v>2782</v>
      </c>
      <c r="H82" s="73" t="s">
        <v>2818</v>
      </c>
      <c r="I82" s="77" t="s">
        <v>2774</v>
      </c>
      <c r="J82" s="74" t="b">
        <v>0</v>
      </c>
      <c r="K82" s="71"/>
      <c r="L82" s="71" t="s">
        <v>2800</v>
      </c>
      <c r="M82" s="76"/>
    </row>
    <row r="83" ht="21.0" customHeight="1">
      <c r="A83" s="70">
        <v>69.0</v>
      </c>
      <c r="B83" s="71" t="s">
        <v>45</v>
      </c>
      <c r="C83" s="72" t="s">
        <v>2310</v>
      </c>
      <c r="D83" s="73" t="s">
        <v>2939</v>
      </c>
      <c r="E83" s="71"/>
      <c r="F83" s="73" t="s">
        <v>2940</v>
      </c>
      <c r="G83" s="74" t="s">
        <v>2782</v>
      </c>
      <c r="H83" s="73" t="s">
        <v>2818</v>
      </c>
      <c r="I83" s="77" t="s">
        <v>2774</v>
      </c>
      <c r="J83" s="74" t="b">
        <v>0</v>
      </c>
      <c r="K83" s="71"/>
      <c r="L83" s="71" t="s">
        <v>2800</v>
      </c>
      <c r="M83" s="76"/>
    </row>
    <row r="84" ht="21.0" customHeight="1">
      <c r="A84" s="70">
        <v>70.0</v>
      </c>
      <c r="B84" s="71" t="s">
        <v>37</v>
      </c>
      <c r="C84" s="72" t="s">
        <v>93</v>
      </c>
      <c r="D84" s="73" t="s">
        <v>95</v>
      </c>
      <c r="E84" s="71" t="s">
        <v>94</v>
      </c>
      <c r="F84" s="73"/>
      <c r="G84" s="74" t="s">
        <v>2766</v>
      </c>
      <c r="H84" s="73"/>
      <c r="I84" s="75" t="s">
        <v>2781</v>
      </c>
      <c r="J84" s="74" t="b">
        <v>1</v>
      </c>
      <c r="K84" s="71" t="s">
        <v>96</v>
      </c>
      <c r="L84" s="71" t="s">
        <v>2941</v>
      </c>
      <c r="M84" s="76" t="s">
        <v>2942</v>
      </c>
    </row>
    <row r="85" ht="21.0" customHeight="1">
      <c r="A85" s="70">
        <v>71.0</v>
      </c>
      <c r="B85" s="71" t="s">
        <v>37</v>
      </c>
      <c r="C85" s="72" t="s">
        <v>101</v>
      </c>
      <c r="D85" s="73" t="s">
        <v>102</v>
      </c>
      <c r="E85" s="71" t="s">
        <v>94</v>
      </c>
      <c r="F85" s="73"/>
      <c r="G85" s="74" t="s">
        <v>2766</v>
      </c>
      <c r="H85" s="73"/>
      <c r="I85" s="77" t="s">
        <v>2781</v>
      </c>
      <c r="J85" s="74" t="b">
        <v>1</v>
      </c>
      <c r="K85" s="71" t="s">
        <v>103</v>
      </c>
      <c r="L85" s="71" t="s">
        <v>2941</v>
      </c>
      <c r="M85" s="76" t="s">
        <v>2943</v>
      </c>
    </row>
    <row r="86" ht="21.0" customHeight="1">
      <c r="A86" s="70">
        <v>72.0</v>
      </c>
      <c r="B86" s="71" t="s">
        <v>37</v>
      </c>
      <c r="C86" s="72" t="s">
        <v>108</v>
      </c>
      <c r="D86" s="73" t="s">
        <v>109</v>
      </c>
      <c r="E86" s="71" t="s">
        <v>94</v>
      </c>
      <c r="F86" s="73"/>
      <c r="G86" s="74" t="s">
        <v>2766</v>
      </c>
      <c r="H86" s="73"/>
      <c r="I86" s="77" t="s">
        <v>2781</v>
      </c>
      <c r="J86" s="74" t="b">
        <v>1</v>
      </c>
      <c r="K86" s="71" t="s">
        <v>110</v>
      </c>
      <c r="L86" s="71" t="s">
        <v>2941</v>
      </c>
      <c r="M86" s="76" t="s">
        <v>2944</v>
      </c>
    </row>
    <row r="87" ht="21.0" customHeight="1">
      <c r="A87" s="70">
        <v>73.0</v>
      </c>
      <c r="B87" s="71" t="s">
        <v>37</v>
      </c>
      <c r="C87" s="72" t="s">
        <v>129</v>
      </c>
      <c r="D87" s="73" t="s">
        <v>131</v>
      </c>
      <c r="E87" s="71" t="s">
        <v>130</v>
      </c>
      <c r="F87" s="73"/>
      <c r="G87" s="74" t="s">
        <v>2766</v>
      </c>
      <c r="H87" s="73"/>
      <c r="I87" s="77" t="s">
        <v>2781</v>
      </c>
      <c r="J87" s="74" t="b">
        <v>1</v>
      </c>
      <c r="K87" s="71" t="s">
        <v>132</v>
      </c>
      <c r="L87" s="71" t="s">
        <v>2941</v>
      </c>
      <c r="M87" s="76" t="s">
        <v>2945</v>
      </c>
    </row>
    <row r="88" ht="21.0" customHeight="1">
      <c r="A88" s="70">
        <v>74.0</v>
      </c>
      <c r="B88" s="71" t="s">
        <v>37</v>
      </c>
      <c r="C88" s="72" t="s">
        <v>137</v>
      </c>
      <c r="D88" s="73" t="s">
        <v>131</v>
      </c>
      <c r="E88" s="71" t="s">
        <v>130</v>
      </c>
      <c r="F88" s="73"/>
      <c r="G88" s="74" t="s">
        <v>2766</v>
      </c>
      <c r="H88" s="73"/>
      <c r="I88" s="77" t="s">
        <v>2781</v>
      </c>
      <c r="J88" s="74" t="b">
        <v>1</v>
      </c>
      <c r="K88" s="71" t="s">
        <v>138</v>
      </c>
      <c r="L88" s="71" t="s">
        <v>2941</v>
      </c>
      <c r="M88" s="76" t="s">
        <v>2946</v>
      </c>
    </row>
    <row r="89" ht="21.0" customHeight="1">
      <c r="A89" s="70">
        <v>75.0</v>
      </c>
      <c r="B89" s="71" t="s">
        <v>37</v>
      </c>
      <c r="C89" s="72" t="s">
        <v>143</v>
      </c>
      <c r="D89" s="73" t="s">
        <v>144</v>
      </c>
      <c r="E89" s="71" t="s">
        <v>130</v>
      </c>
      <c r="F89" s="73"/>
      <c r="G89" s="74" t="s">
        <v>2766</v>
      </c>
      <c r="H89" s="73"/>
      <c r="I89" s="77" t="s">
        <v>2781</v>
      </c>
      <c r="J89" s="74" t="b">
        <v>1</v>
      </c>
      <c r="K89" s="71" t="s">
        <v>145</v>
      </c>
      <c r="L89" s="71" t="s">
        <v>2941</v>
      </c>
      <c r="M89" s="76" t="s">
        <v>2947</v>
      </c>
    </row>
    <row r="90" ht="21.0" customHeight="1">
      <c r="A90" s="70">
        <v>76.0</v>
      </c>
      <c r="B90" s="71" t="s">
        <v>37</v>
      </c>
      <c r="C90" s="72" t="s">
        <v>158</v>
      </c>
      <c r="D90" s="73" t="s">
        <v>159</v>
      </c>
      <c r="E90" s="71" t="s">
        <v>150</v>
      </c>
      <c r="F90" s="73"/>
      <c r="G90" s="74" t="s">
        <v>2766</v>
      </c>
      <c r="H90" s="73"/>
      <c r="I90" s="77" t="s">
        <v>2781</v>
      </c>
      <c r="J90" s="74" t="b">
        <v>1</v>
      </c>
      <c r="K90" s="71" t="s">
        <v>160</v>
      </c>
      <c r="L90" s="71" t="s">
        <v>2941</v>
      </c>
      <c r="M90" s="76" t="s">
        <v>2948</v>
      </c>
    </row>
    <row r="91" ht="21.0" customHeight="1">
      <c r="A91" s="70">
        <v>77.0</v>
      </c>
      <c r="B91" s="71" t="s">
        <v>37</v>
      </c>
      <c r="C91" s="72" t="s">
        <v>165</v>
      </c>
      <c r="D91" s="73" t="s">
        <v>166</v>
      </c>
      <c r="E91" s="71" t="s">
        <v>150</v>
      </c>
      <c r="F91" s="73"/>
      <c r="G91" s="74" t="s">
        <v>2766</v>
      </c>
      <c r="H91" s="73"/>
      <c r="I91" s="77" t="s">
        <v>2781</v>
      </c>
      <c r="J91" s="74" t="b">
        <v>1</v>
      </c>
      <c r="K91" s="71" t="s">
        <v>167</v>
      </c>
      <c r="L91" s="71" t="s">
        <v>2941</v>
      </c>
      <c r="M91" s="76" t="s">
        <v>2949</v>
      </c>
    </row>
    <row r="92" ht="21.0" customHeight="1">
      <c r="A92" s="70">
        <v>78.0</v>
      </c>
      <c r="B92" s="71" t="s">
        <v>37</v>
      </c>
      <c r="C92" s="72" t="s">
        <v>179</v>
      </c>
      <c r="D92" s="73" t="s">
        <v>180</v>
      </c>
      <c r="E92" s="71" t="s">
        <v>172</v>
      </c>
      <c r="F92" s="73"/>
      <c r="G92" s="74" t="s">
        <v>2766</v>
      </c>
      <c r="H92" s="73"/>
      <c r="I92" s="77" t="s">
        <v>2781</v>
      </c>
      <c r="J92" s="74" t="b">
        <v>1</v>
      </c>
      <c r="K92" s="71" t="s">
        <v>181</v>
      </c>
      <c r="L92" s="71" t="s">
        <v>2941</v>
      </c>
      <c r="M92" s="76" t="s">
        <v>2950</v>
      </c>
    </row>
    <row r="93" ht="21.0" customHeight="1">
      <c r="A93" s="70">
        <v>79.0</v>
      </c>
      <c r="B93" s="71" t="s">
        <v>37</v>
      </c>
      <c r="C93" s="72" t="s">
        <v>193</v>
      </c>
      <c r="D93" s="73" t="s">
        <v>195</v>
      </c>
      <c r="E93" s="71" t="s">
        <v>194</v>
      </c>
      <c r="F93" s="73"/>
      <c r="G93" s="74" t="s">
        <v>2766</v>
      </c>
      <c r="H93" s="73"/>
      <c r="I93" s="77" t="s">
        <v>2781</v>
      </c>
      <c r="J93" s="74" t="b">
        <v>1</v>
      </c>
      <c r="K93" s="71" t="s">
        <v>196</v>
      </c>
      <c r="L93" s="71" t="s">
        <v>2941</v>
      </c>
      <c r="M93" s="76" t="s">
        <v>2951</v>
      </c>
    </row>
    <row r="94" ht="21.0" customHeight="1">
      <c r="A94" s="70">
        <v>80.0</v>
      </c>
      <c r="B94" s="71" t="s">
        <v>37</v>
      </c>
      <c r="C94" s="72" t="s">
        <v>201</v>
      </c>
      <c r="D94" s="73" t="s">
        <v>202</v>
      </c>
      <c r="E94" s="71" t="s">
        <v>194</v>
      </c>
      <c r="F94" s="73"/>
      <c r="G94" s="74" t="s">
        <v>2766</v>
      </c>
      <c r="H94" s="73"/>
      <c r="I94" s="77" t="s">
        <v>2781</v>
      </c>
      <c r="J94" s="74" t="b">
        <v>1</v>
      </c>
      <c r="K94" s="71" t="s">
        <v>203</v>
      </c>
      <c r="L94" s="71" t="s">
        <v>2941</v>
      </c>
      <c r="M94" s="76" t="s">
        <v>2952</v>
      </c>
    </row>
    <row r="95" ht="21.0" customHeight="1">
      <c r="A95" s="70">
        <v>81.0</v>
      </c>
      <c r="B95" s="71" t="s">
        <v>37</v>
      </c>
      <c r="C95" s="72" t="s">
        <v>208</v>
      </c>
      <c r="D95" s="73" t="s">
        <v>210</v>
      </c>
      <c r="E95" s="71" t="s">
        <v>209</v>
      </c>
      <c r="F95" s="73"/>
      <c r="G95" s="74" t="s">
        <v>2766</v>
      </c>
      <c r="H95" s="73"/>
      <c r="I95" s="77" t="s">
        <v>2781</v>
      </c>
      <c r="J95" s="74" t="b">
        <v>1</v>
      </c>
      <c r="K95" s="71" t="s">
        <v>211</v>
      </c>
      <c r="L95" s="71" t="s">
        <v>2941</v>
      </c>
      <c r="M95" s="76" t="s">
        <v>2953</v>
      </c>
    </row>
    <row r="96" ht="21.0" customHeight="1">
      <c r="A96" s="70">
        <v>82.0</v>
      </c>
      <c r="B96" s="71" t="s">
        <v>37</v>
      </c>
      <c r="C96" s="72" t="s">
        <v>216</v>
      </c>
      <c r="D96" s="73" t="s">
        <v>217</v>
      </c>
      <c r="E96" s="71" t="s">
        <v>209</v>
      </c>
      <c r="F96" s="73"/>
      <c r="G96" s="74" t="s">
        <v>2766</v>
      </c>
      <c r="H96" s="73"/>
      <c r="I96" s="77" t="s">
        <v>2781</v>
      </c>
      <c r="J96" s="74" t="b">
        <v>1</v>
      </c>
      <c r="K96" s="71" t="s">
        <v>218</v>
      </c>
      <c r="L96" s="71" t="s">
        <v>2941</v>
      </c>
      <c r="M96" s="76" t="s">
        <v>2954</v>
      </c>
    </row>
    <row r="97" ht="21.0" customHeight="1">
      <c r="A97" s="70">
        <v>83.0</v>
      </c>
      <c r="B97" s="71" t="s">
        <v>37</v>
      </c>
      <c r="C97" s="72" t="s">
        <v>224</v>
      </c>
      <c r="D97" s="73" t="s">
        <v>217</v>
      </c>
      <c r="E97" s="71" t="s">
        <v>209</v>
      </c>
      <c r="F97" s="73"/>
      <c r="G97" s="74" t="s">
        <v>2766</v>
      </c>
      <c r="H97" s="73"/>
      <c r="I97" s="77" t="s">
        <v>2781</v>
      </c>
      <c r="J97" s="74" t="b">
        <v>1</v>
      </c>
      <c r="K97" s="71" t="s">
        <v>225</v>
      </c>
      <c r="L97" s="71" t="s">
        <v>2941</v>
      </c>
      <c r="M97" s="76" t="s">
        <v>2955</v>
      </c>
    </row>
    <row r="98" ht="21.0" customHeight="1">
      <c r="A98" s="70">
        <v>84.0</v>
      </c>
      <c r="B98" s="71" t="s">
        <v>37</v>
      </c>
      <c r="C98" s="72" t="s">
        <v>230</v>
      </c>
      <c r="D98" s="73" t="s">
        <v>231</v>
      </c>
      <c r="E98" s="71" t="s">
        <v>209</v>
      </c>
      <c r="F98" s="73"/>
      <c r="G98" s="74" t="s">
        <v>2766</v>
      </c>
      <c r="H98" s="73"/>
      <c r="I98" s="77" t="s">
        <v>2781</v>
      </c>
      <c r="J98" s="74" t="b">
        <v>1</v>
      </c>
      <c r="K98" s="71" t="s">
        <v>232</v>
      </c>
      <c r="L98" s="71" t="s">
        <v>2941</v>
      </c>
      <c r="M98" s="76" t="s">
        <v>2956</v>
      </c>
    </row>
    <row r="99" ht="21.0" customHeight="1">
      <c r="A99" s="70">
        <v>85.0</v>
      </c>
      <c r="B99" s="71" t="s">
        <v>37</v>
      </c>
      <c r="C99" s="72" t="s">
        <v>307</v>
      </c>
      <c r="D99" s="73" t="s">
        <v>309</v>
      </c>
      <c r="E99" s="71" t="s">
        <v>308</v>
      </c>
      <c r="F99" s="73"/>
      <c r="G99" s="74" t="s">
        <v>2766</v>
      </c>
      <c r="H99" s="73"/>
      <c r="I99" s="77" t="s">
        <v>2781</v>
      </c>
      <c r="J99" s="74" t="b">
        <v>1</v>
      </c>
      <c r="K99" s="71" t="s">
        <v>310</v>
      </c>
      <c r="L99" s="71" t="s">
        <v>2941</v>
      </c>
      <c r="M99" s="76" t="s">
        <v>2957</v>
      </c>
    </row>
    <row r="100" ht="21.0" customHeight="1">
      <c r="A100" s="70">
        <v>86.0</v>
      </c>
      <c r="B100" s="71" t="s">
        <v>37</v>
      </c>
      <c r="C100" s="72" t="s">
        <v>315</v>
      </c>
      <c r="D100" s="73" t="s">
        <v>316</v>
      </c>
      <c r="E100" s="71" t="s">
        <v>308</v>
      </c>
      <c r="F100" s="73"/>
      <c r="G100" s="74" t="s">
        <v>2766</v>
      </c>
      <c r="H100" s="73"/>
      <c r="I100" s="77" t="s">
        <v>2781</v>
      </c>
      <c r="J100" s="74" t="b">
        <v>1</v>
      </c>
      <c r="K100" s="71" t="s">
        <v>317</v>
      </c>
      <c r="L100" s="71" t="s">
        <v>2941</v>
      </c>
      <c r="M100" s="76" t="s">
        <v>2958</v>
      </c>
    </row>
    <row r="101" ht="21.0" customHeight="1">
      <c r="A101" s="70">
        <v>87.0</v>
      </c>
      <c r="B101" s="71" t="s">
        <v>37</v>
      </c>
      <c r="C101" s="72" t="s">
        <v>322</v>
      </c>
      <c r="D101" s="73" t="s">
        <v>324</v>
      </c>
      <c r="E101" s="71" t="s">
        <v>323</v>
      </c>
      <c r="F101" s="73"/>
      <c r="G101" s="74" t="s">
        <v>2766</v>
      </c>
      <c r="H101" s="73"/>
      <c r="I101" s="77" t="s">
        <v>2781</v>
      </c>
      <c r="J101" s="74" t="b">
        <v>1</v>
      </c>
      <c r="K101" s="71" t="s">
        <v>325</v>
      </c>
      <c r="L101" s="71" t="s">
        <v>2941</v>
      </c>
      <c r="M101" s="76" t="s">
        <v>2959</v>
      </c>
    </row>
    <row r="102" ht="21.0" customHeight="1">
      <c r="A102" s="70">
        <v>88.0</v>
      </c>
      <c r="B102" s="71" t="s">
        <v>37</v>
      </c>
      <c r="C102" s="72" t="s">
        <v>329</v>
      </c>
      <c r="D102" s="73" t="s">
        <v>330</v>
      </c>
      <c r="E102" s="71" t="s">
        <v>323</v>
      </c>
      <c r="F102" s="73"/>
      <c r="G102" s="74" t="s">
        <v>2766</v>
      </c>
      <c r="H102" s="73"/>
      <c r="I102" s="77" t="s">
        <v>2781</v>
      </c>
      <c r="J102" s="74" t="b">
        <v>1</v>
      </c>
      <c r="K102" s="71" t="s">
        <v>331</v>
      </c>
      <c r="L102" s="71" t="s">
        <v>2941</v>
      </c>
      <c r="M102" s="76" t="s">
        <v>2960</v>
      </c>
    </row>
    <row r="103" ht="21.0" customHeight="1">
      <c r="A103" s="70">
        <v>89.0</v>
      </c>
      <c r="B103" s="71" t="s">
        <v>37</v>
      </c>
      <c r="C103" s="72" t="s">
        <v>334</v>
      </c>
      <c r="D103" s="73" t="s">
        <v>335</v>
      </c>
      <c r="E103" s="71" t="s">
        <v>323</v>
      </c>
      <c r="F103" s="73"/>
      <c r="G103" s="74" t="s">
        <v>2766</v>
      </c>
      <c r="H103" s="73"/>
      <c r="I103" s="77" t="s">
        <v>2781</v>
      </c>
      <c r="J103" s="74" t="b">
        <v>1</v>
      </c>
      <c r="K103" s="71" t="s">
        <v>336</v>
      </c>
      <c r="L103" s="71" t="s">
        <v>2941</v>
      </c>
      <c r="M103" s="76" t="s">
        <v>2961</v>
      </c>
    </row>
    <row r="104" ht="21.0" customHeight="1">
      <c r="A104" s="70">
        <v>90.0</v>
      </c>
      <c r="B104" s="71" t="s">
        <v>37</v>
      </c>
      <c r="C104" s="72" t="s">
        <v>341</v>
      </c>
      <c r="D104" s="73" t="s">
        <v>342</v>
      </c>
      <c r="E104" s="71" t="s">
        <v>323</v>
      </c>
      <c r="F104" s="73"/>
      <c r="G104" s="74" t="s">
        <v>2766</v>
      </c>
      <c r="H104" s="73"/>
      <c r="I104" s="77" t="s">
        <v>2781</v>
      </c>
      <c r="J104" s="74" t="b">
        <v>1</v>
      </c>
      <c r="K104" s="71" t="s">
        <v>343</v>
      </c>
      <c r="L104" s="71" t="s">
        <v>2941</v>
      </c>
      <c r="M104" s="76" t="s">
        <v>2962</v>
      </c>
    </row>
    <row r="105" ht="21.0" customHeight="1">
      <c r="A105" s="70">
        <v>91.0</v>
      </c>
      <c r="B105" s="71" t="s">
        <v>37</v>
      </c>
      <c r="C105" s="72" t="s">
        <v>348</v>
      </c>
      <c r="D105" s="73" t="s">
        <v>349</v>
      </c>
      <c r="E105" s="71" t="s">
        <v>323</v>
      </c>
      <c r="F105" s="73"/>
      <c r="G105" s="74" t="s">
        <v>2766</v>
      </c>
      <c r="H105" s="73"/>
      <c r="I105" s="77" t="s">
        <v>2781</v>
      </c>
      <c r="J105" s="74" t="b">
        <v>1</v>
      </c>
      <c r="K105" s="71" t="s">
        <v>350</v>
      </c>
      <c r="L105" s="71" t="s">
        <v>2941</v>
      </c>
      <c r="M105" s="76" t="s">
        <v>2963</v>
      </c>
    </row>
    <row r="106" ht="21.0" customHeight="1">
      <c r="A106" s="70">
        <v>92.0</v>
      </c>
      <c r="B106" s="71" t="s">
        <v>37</v>
      </c>
      <c r="C106" s="72" t="s">
        <v>355</v>
      </c>
      <c r="D106" s="73" t="s">
        <v>356</v>
      </c>
      <c r="E106" s="71" t="s">
        <v>323</v>
      </c>
      <c r="F106" s="73"/>
      <c r="G106" s="74" t="s">
        <v>2766</v>
      </c>
      <c r="H106" s="73"/>
      <c r="I106" s="77" t="s">
        <v>2781</v>
      </c>
      <c r="J106" s="74" t="b">
        <v>1</v>
      </c>
      <c r="K106" s="71" t="s">
        <v>357</v>
      </c>
      <c r="L106" s="71" t="s">
        <v>2941</v>
      </c>
      <c r="M106" s="76" t="s">
        <v>2964</v>
      </c>
    </row>
    <row r="107" ht="21.0" customHeight="1">
      <c r="A107" s="70">
        <v>93.0</v>
      </c>
      <c r="B107" s="71" t="s">
        <v>37</v>
      </c>
      <c r="C107" s="72" t="s">
        <v>406</v>
      </c>
      <c r="D107" s="73" t="s">
        <v>2965</v>
      </c>
      <c r="E107" s="71" t="s">
        <v>378</v>
      </c>
      <c r="F107" s="73"/>
      <c r="G107" s="74" t="s">
        <v>2766</v>
      </c>
      <c r="H107" s="73"/>
      <c r="I107" s="77" t="s">
        <v>2781</v>
      </c>
      <c r="J107" s="74" t="b">
        <v>1</v>
      </c>
      <c r="K107" s="71" t="s">
        <v>407</v>
      </c>
      <c r="L107" s="71" t="s">
        <v>2941</v>
      </c>
      <c r="M107" s="76" t="s">
        <v>2966</v>
      </c>
    </row>
    <row r="108" ht="21.0" customHeight="1">
      <c r="A108" s="70">
        <v>94.0</v>
      </c>
      <c r="B108" s="71" t="s">
        <v>37</v>
      </c>
      <c r="C108" s="72" t="s">
        <v>409</v>
      </c>
      <c r="D108" s="73" t="s">
        <v>2967</v>
      </c>
      <c r="E108" s="71" t="s">
        <v>378</v>
      </c>
      <c r="F108" s="73"/>
      <c r="G108" s="74" t="s">
        <v>2766</v>
      </c>
      <c r="H108" s="73"/>
      <c r="I108" s="77" t="s">
        <v>2781</v>
      </c>
      <c r="J108" s="74" t="b">
        <v>1</v>
      </c>
      <c r="K108" s="71" t="s">
        <v>410</v>
      </c>
      <c r="L108" s="71" t="s">
        <v>2941</v>
      </c>
      <c r="M108" s="76" t="s">
        <v>2968</v>
      </c>
    </row>
    <row r="109" ht="21.0" customHeight="1">
      <c r="A109" s="70">
        <v>95.0</v>
      </c>
      <c r="B109" s="71" t="s">
        <v>37</v>
      </c>
      <c r="C109" s="72" t="s">
        <v>412</v>
      </c>
      <c r="D109" s="73" t="s">
        <v>2969</v>
      </c>
      <c r="E109" s="71" t="s">
        <v>378</v>
      </c>
      <c r="F109" s="73"/>
      <c r="G109" s="74" t="s">
        <v>2766</v>
      </c>
      <c r="H109" s="73"/>
      <c r="I109" s="77" t="s">
        <v>2781</v>
      </c>
      <c r="J109" s="74" t="b">
        <v>1</v>
      </c>
      <c r="K109" s="71" t="s">
        <v>413</v>
      </c>
      <c r="L109" s="71" t="s">
        <v>2941</v>
      </c>
      <c r="M109" s="76" t="s">
        <v>2970</v>
      </c>
    </row>
    <row r="110" ht="21.0" customHeight="1">
      <c r="A110" s="70">
        <v>96.0</v>
      </c>
      <c r="B110" s="71" t="s">
        <v>37</v>
      </c>
      <c r="C110" s="72" t="s">
        <v>382</v>
      </c>
      <c r="D110" s="73" t="s">
        <v>2971</v>
      </c>
      <c r="E110" s="71" t="s">
        <v>378</v>
      </c>
      <c r="F110" s="73"/>
      <c r="G110" s="74" t="s">
        <v>2766</v>
      </c>
      <c r="H110" s="73"/>
      <c r="I110" s="77" t="s">
        <v>2781</v>
      </c>
      <c r="J110" s="74" t="b">
        <v>1</v>
      </c>
      <c r="K110" s="71" t="s">
        <v>383</v>
      </c>
      <c r="L110" s="71" t="s">
        <v>2941</v>
      </c>
      <c r="M110" s="76" t="s">
        <v>2972</v>
      </c>
    </row>
    <row r="111" ht="21.0" customHeight="1">
      <c r="A111" s="70">
        <v>97.0</v>
      </c>
      <c r="B111" s="71" t="s">
        <v>37</v>
      </c>
      <c r="C111" s="72" t="s">
        <v>385</v>
      </c>
      <c r="D111" s="73" t="s">
        <v>2973</v>
      </c>
      <c r="E111" s="71" t="s">
        <v>378</v>
      </c>
      <c r="F111" s="73"/>
      <c r="G111" s="74" t="s">
        <v>2766</v>
      </c>
      <c r="H111" s="73"/>
      <c r="I111" s="77" t="s">
        <v>2781</v>
      </c>
      <c r="J111" s="74" t="b">
        <v>1</v>
      </c>
      <c r="K111" s="71" t="s">
        <v>386</v>
      </c>
      <c r="L111" s="71" t="s">
        <v>2941</v>
      </c>
      <c r="M111" s="76" t="s">
        <v>2974</v>
      </c>
    </row>
    <row r="112" ht="21.0" customHeight="1">
      <c r="A112" s="70">
        <v>98.0</v>
      </c>
      <c r="B112" s="71" t="s">
        <v>37</v>
      </c>
      <c r="C112" s="72" t="s">
        <v>388</v>
      </c>
      <c r="D112" s="73" t="s">
        <v>2975</v>
      </c>
      <c r="E112" s="71" t="s">
        <v>378</v>
      </c>
      <c r="F112" s="73"/>
      <c r="G112" s="74" t="s">
        <v>2766</v>
      </c>
      <c r="H112" s="73"/>
      <c r="I112" s="77" t="s">
        <v>2781</v>
      </c>
      <c r="J112" s="74" t="b">
        <v>1</v>
      </c>
      <c r="K112" s="71" t="s">
        <v>389</v>
      </c>
      <c r="L112" s="71" t="s">
        <v>2941</v>
      </c>
      <c r="M112" s="76" t="s">
        <v>2976</v>
      </c>
    </row>
    <row r="113" ht="21.0" customHeight="1">
      <c r="A113" s="70">
        <v>99.0</v>
      </c>
      <c r="B113" s="71" t="s">
        <v>37</v>
      </c>
      <c r="C113" s="72" t="s">
        <v>377</v>
      </c>
      <c r="D113" s="73" t="s">
        <v>2977</v>
      </c>
      <c r="E113" s="71" t="s">
        <v>378</v>
      </c>
      <c r="F113" s="73"/>
      <c r="G113" s="74" t="s">
        <v>2766</v>
      </c>
      <c r="H113" s="73"/>
      <c r="I113" s="77" t="s">
        <v>2781</v>
      </c>
      <c r="J113" s="74" t="b">
        <v>1</v>
      </c>
      <c r="K113" s="71" t="s">
        <v>380</v>
      </c>
      <c r="L113" s="71" t="s">
        <v>2941</v>
      </c>
      <c r="M113" s="76" t="s">
        <v>2978</v>
      </c>
    </row>
    <row r="114" ht="21.0" customHeight="1">
      <c r="A114" s="70">
        <v>100.0</v>
      </c>
      <c r="B114" s="71" t="s">
        <v>37</v>
      </c>
      <c r="C114" s="72" t="s">
        <v>391</v>
      </c>
      <c r="D114" s="73" t="s">
        <v>2979</v>
      </c>
      <c r="E114" s="71" t="s">
        <v>378</v>
      </c>
      <c r="F114" s="73"/>
      <c r="G114" s="74" t="s">
        <v>2766</v>
      </c>
      <c r="H114" s="73"/>
      <c r="I114" s="77" t="s">
        <v>2781</v>
      </c>
      <c r="J114" s="74" t="b">
        <v>1</v>
      </c>
      <c r="K114" s="71" t="s">
        <v>392</v>
      </c>
      <c r="L114" s="71" t="s">
        <v>2941</v>
      </c>
      <c r="M114" s="76" t="s">
        <v>2980</v>
      </c>
    </row>
    <row r="115" ht="21.0" customHeight="1">
      <c r="A115" s="70">
        <v>101.0</v>
      </c>
      <c r="B115" s="71" t="s">
        <v>37</v>
      </c>
      <c r="C115" s="72" t="s">
        <v>394</v>
      </c>
      <c r="D115" s="73" t="s">
        <v>2981</v>
      </c>
      <c r="E115" s="71" t="s">
        <v>378</v>
      </c>
      <c r="F115" s="73"/>
      <c r="G115" s="74" t="s">
        <v>2766</v>
      </c>
      <c r="H115" s="73"/>
      <c r="I115" s="77" t="s">
        <v>2781</v>
      </c>
      <c r="J115" s="74" t="b">
        <v>1</v>
      </c>
      <c r="K115" s="71" t="s">
        <v>395</v>
      </c>
      <c r="L115" s="71" t="s">
        <v>2941</v>
      </c>
      <c r="M115" s="76" t="s">
        <v>2982</v>
      </c>
    </row>
    <row r="116" ht="21.0" customHeight="1">
      <c r="A116" s="70">
        <v>102.0</v>
      </c>
      <c r="B116" s="71" t="s">
        <v>37</v>
      </c>
      <c r="C116" s="72" t="s">
        <v>397</v>
      </c>
      <c r="D116" s="73" t="s">
        <v>2983</v>
      </c>
      <c r="E116" s="71" t="s">
        <v>378</v>
      </c>
      <c r="F116" s="73"/>
      <c r="G116" s="74" t="s">
        <v>2766</v>
      </c>
      <c r="H116" s="73"/>
      <c r="I116" s="77" t="s">
        <v>2781</v>
      </c>
      <c r="J116" s="74" t="b">
        <v>1</v>
      </c>
      <c r="K116" s="71" t="s">
        <v>398</v>
      </c>
      <c r="L116" s="71" t="s">
        <v>2941</v>
      </c>
      <c r="M116" s="76" t="s">
        <v>2984</v>
      </c>
    </row>
    <row r="117" ht="21.0" customHeight="1">
      <c r="A117" s="70">
        <v>103.0</v>
      </c>
      <c r="B117" s="71" t="s">
        <v>37</v>
      </c>
      <c r="C117" s="72" t="s">
        <v>400</v>
      </c>
      <c r="D117" s="73" t="s">
        <v>2985</v>
      </c>
      <c r="E117" s="71" t="s">
        <v>378</v>
      </c>
      <c r="F117" s="73"/>
      <c r="G117" s="74" t="s">
        <v>2766</v>
      </c>
      <c r="H117" s="73"/>
      <c r="I117" s="77" t="s">
        <v>2781</v>
      </c>
      <c r="J117" s="74" t="b">
        <v>1</v>
      </c>
      <c r="K117" s="71" t="s">
        <v>401</v>
      </c>
      <c r="L117" s="71" t="s">
        <v>2941</v>
      </c>
      <c r="M117" s="76" t="s">
        <v>2986</v>
      </c>
    </row>
    <row r="118" ht="21.0" customHeight="1">
      <c r="A118" s="70">
        <v>104.0</v>
      </c>
      <c r="B118" s="71" t="s">
        <v>37</v>
      </c>
      <c r="C118" s="72" t="s">
        <v>403</v>
      </c>
      <c r="D118" s="73" t="s">
        <v>2987</v>
      </c>
      <c r="E118" s="71" t="s">
        <v>378</v>
      </c>
      <c r="F118" s="73"/>
      <c r="G118" s="74" t="s">
        <v>2766</v>
      </c>
      <c r="H118" s="73"/>
      <c r="I118" s="77" t="s">
        <v>2781</v>
      </c>
      <c r="J118" s="74" t="b">
        <v>1</v>
      </c>
      <c r="K118" s="71" t="s">
        <v>404</v>
      </c>
      <c r="L118" s="71" t="s">
        <v>2941</v>
      </c>
      <c r="M118" s="76" t="s">
        <v>2988</v>
      </c>
    </row>
    <row r="119" ht="21.0" customHeight="1">
      <c r="A119" s="70">
        <v>105.0</v>
      </c>
      <c r="B119" s="71" t="s">
        <v>37</v>
      </c>
      <c r="C119" s="72" t="s">
        <v>415</v>
      </c>
      <c r="D119" s="73" t="s">
        <v>416</v>
      </c>
      <c r="E119" s="71" t="s">
        <v>378</v>
      </c>
      <c r="F119" s="73"/>
      <c r="G119" s="74" t="s">
        <v>2766</v>
      </c>
      <c r="H119" s="73"/>
      <c r="I119" s="77" t="s">
        <v>2781</v>
      </c>
      <c r="J119" s="74" t="b">
        <v>1</v>
      </c>
      <c r="K119" s="71" t="s">
        <v>417</v>
      </c>
      <c r="L119" s="71" t="s">
        <v>2941</v>
      </c>
      <c r="M119" s="76" t="s">
        <v>2989</v>
      </c>
    </row>
    <row r="120" ht="21.0" customHeight="1">
      <c r="A120" s="70">
        <v>106.0</v>
      </c>
      <c r="B120" s="71" t="s">
        <v>37</v>
      </c>
      <c r="C120" s="72" t="s">
        <v>423</v>
      </c>
      <c r="D120" s="73" t="s">
        <v>424</v>
      </c>
      <c r="E120" s="71" t="s">
        <v>378</v>
      </c>
      <c r="F120" s="73"/>
      <c r="G120" s="74" t="s">
        <v>2766</v>
      </c>
      <c r="H120" s="73"/>
      <c r="I120" s="77" t="s">
        <v>2781</v>
      </c>
      <c r="J120" s="74" t="b">
        <v>1</v>
      </c>
      <c r="K120" s="71" t="s">
        <v>425</v>
      </c>
      <c r="L120" s="71" t="s">
        <v>2941</v>
      </c>
      <c r="M120" s="76" t="s">
        <v>2990</v>
      </c>
    </row>
    <row r="121" ht="21.0" customHeight="1">
      <c r="A121" s="70">
        <v>107.0</v>
      </c>
      <c r="B121" s="71" t="s">
        <v>37</v>
      </c>
      <c r="C121" s="72" t="s">
        <v>431</v>
      </c>
      <c r="D121" s="73" t="s">
        <v>432</v>
      </c>
      <c r="E121" s="71" t="s">
        <v>378</v>
      </c>
      <c r="F121" s="73"/>
      <c r="G121" s="74" t="s">
        <v>2766</v>
      </c>
      <c r="H121" s="73"/>
      <c r="I121" s="77" t="s">
        <v>2781</v>
      </c>
      <c r="J121" s="74" t="b">
        <v>1</v>
      </c>
      <c r="K121" s="71" t="s">
        <v>433</v>
      </c>
      <c r="L121" s="71" t="s">
        <v>2941</v>
      </c>
      <c r="M121" s="76" t="s">
        <v>2991</v>
      </c>
    </row>
    <row r="122" ht="21.0" customHeight="1">
      <c r="A122" s="70">
        <v>108.0</v>
      </c>
      <c r="B122" s="71" t="s">
        <v>37</v>
      </c>
      <c r="C122" s="72" t="s">
        <v>459</v>
      </c>
      <c r="D122" s="73" t="s">
        <v>461</v>
      </c>
      <c r="E122" s="71" t="s">
        <v>460</v>
      </c>
      <c r="F122" s="73"/>
      <c r="G122" s="74" t="s">
        <v>2766</v>
      </c>
      <c r="H122" s="73"/>
      <c r="I122" s="77" t="s">
        <v>2781</v>
      </c>
      <c r="J122" s="74" t="b">
        <v>1</v>
      </c>
      <c r="K122" s="71" t="s">
        <v>462</v>
      </c>
      <c r="L122" s="71" t="s">
        <v>2941</v>
      </c>
      <c r="M122" s="76" t="s">
        <v>2992</v>
      </c>
    </row>
    <row r="123" ht="21.0" customHeight="1">
      <c r="A123" s="70">
        <v>109.0</v>
      </c>
      <c r="B123" s="71" t="s">
        <v>37</v>
      </c>
      <c r="C123" s="72" t="s">
        <v>467</v>
      </c>
      <c r="D123" s="73" t="s">
        <v>461</v>
      </c>
      <c r="E123" s="71" t="s">
        <v>460</v>
      </c>
      <c r="F123" s="73"/>
      <c r="G123" s="74" t="s">
        <v>2766</v>
      </c>
      <c r="H123" s="73"/>
      <c r="I123" s="77" t="s">
        <v>2781</v>
      </c>
      <c r="J123" s="74" t="b">
        <v>1</v>
      </c>
      <c r="K123" s="71" t="s">
        <v>468</v>
      </c>
      <c r="L123" s="71" t="s">
        <v>2941</v>
      </c>
      <c r="M123" s="76" t="s">
        <v>2993</v>
      </c>
    </row>
    <row r="124" ht="21.0" customHeight="1">
      <c r="A124" s="70">
        <v>110.0</v>
      </c>
      <c r="B124" s="71" t="s">
        <v>37</v>
      </c>
      <c r="C124" s="72" t="s">
        <v>473</v>
      </c>
      <c r="D124" s="73" t="s">
        <v>461</v>
      </c>
      <c r="E124" s="71" t="s">
        <v>460</v>
      </c>
      <c r="F124" s="73"/>
      <c r="G124" s="74" t="s">
        <v>2766</v>
      </c>
      <c r="H124" s="73"/>
      <c r="I124" s="77" t="s">
        <v>2781</v>
      </c>
      <c r="J124" s="74" t="b">
        <v>1</v>
      </c>
      <c r="K124" s="71" t="s">
        <v>474</v>
      </c>
      <c r="L124" s="71" t="s">
        <v>2941</v>
      </c>
      <c r="M124" s="76" t="s">
        <v>2994</v>
      </c>
    </row>
    <row r="125" ht="21.0" customHeight="1">
      <c r="A125" s="70">
        <v>111.0</v>
      </c>
      <c r="B125" s="71" t="s">
        <v>39</v>
      </c>
      <c r="C125" s="72" t="s">
        <v>536</v>
      </c>
      <c r="D125" s="73" t="s">
        <v>538</v>
      </c>
      <c r="E125" s="71" t="s">
        <v>537</v>
      </c>
      <c r="F125" s="73"/>
      <c r="G125" s="74" t="s">
        <v>2766</v>
      </c>
      <c r="H125" s="73"/>
      <c r="I125" s="77" t="s">
        <v>2781</v>
      </c>
      <c r="J125" s="74" t="b">
        <v>1</v>
      </c>
      <c r="K125" s="71" t="s">
        <v>539</v>
      </c>
      <c r="L125" s="71" t="s">
        <v>2941</v>
      </c>
      <c r="M125" s="76" t="s">
        <v>2995</v>
      </c>
    </row>
    <row r="126" ht="21.0" customHeight="1">
      <c r="A126" s="70">
        <v>112.0</v>
      </c>
      <c r="B126" s="71" t="s">
        <v>39</v>
      </c>
      <c r="C126" s="72" t="s">
        <v>544</v>
      </c>
      <c r="D126" s="73" t="s">
        <v>538</v>
      </c>
      <c r="E126" s="71" t="s">
        <v>537</v>
      </c>
      <c r="F126" s="73"/>
      <c r="G126" s="74" t="s">
        <v>2766</v>
      </c>
      <c r="H126" s="73"/>
      <c r="I126" s="77" t="s">
        <v>2781</v>
      </c>
      <c r="J126" s="74" t="b">
        <v>1</v>
      </c>
      <c r="K126" s="71" t="s">
        <v>545</v>
      </c>
      <c r="L126" s="71" t="s">
        <v>2941</v>
      </c>
      <c r="M126" s="76" t="s">
        <v>2996</v>
      </c>
    </row>
    <row r="127" ht="21.0" customHeight="1">
      <c r="A127" s="70">
        <v>113.0</v>
      </c>
      <c r="B127" s="71" t="s">
        <v>39</v>
      </c>
      <c r="C127" s="72" t="s">
        <v>550</v>
      </c>
      <c r="D127" s="73" t="s">
        <v>538</v>
      </c>
      <c r="E127" s="71" t="s">
        <v>537</v>
      </c>
      <c r="F127" s="73"/>
      <c r="G127" s="74" t="s">
        <v>2766</v>
      </c>
      <c r="H127" s="73"/>
      <c r="I127" s="77" t="s">
        <v>2781</v>
      </c>
      <c r="J127" s="74" t="b">
        <v>1</v>
      </c>
      <c r="K127" s="71" t="s">
        <v>551</v>
      </c>
      <c r="L127" s="71" t="s">
        <v>2941</v>
      </c>
      <c r="M127" s="76" t="s">
        <v>2997</v>
      </c>
    </row>
    <row r="128" ht="21.0" customHeight="1">
      <c r="A128" s="70">
        <v>114.0</v>
      </c>
      <c r="B128" s="71" t="s">
        <v>39</v>
      </c>
      <c r="C128" s="72" t="s">
        <v>556</v>
      </c>
      <c r="D128" s="73" t="s">
        <v>538</v>
      </c>
      <c r="E128" s="71" t="s">
        <v>537</v>
      </c>
      <c r="F128" s="73"/>
      <c r="G128" s="74" t="s">
        <v>2766</v>
      </c>
      <c r="H128" s="73"/>
      <c r="I128" s="77" t="s">
        <v>2781</v>
      </c>
      <c r="J128" s="74" t="b">
        <v>1</v>
      </c>
      <c r="K128" s="71" t="s">
        <v>557</v>
      </c>
      <c r="L128" s="71" t="s">
        <v>2941</v>
      </c>
      <c r="M128" s="76" t="s">
        <v>2998</v>
      </c>
    </row>
    <row r="129" ht="21.0" customHeight="1">
      <c r="A129" s="70">
        <v>115.0</v>
      </c>
      <c r="B129" s="71" t="s">
        <v>39</v>
      </c>
      <c r="C129" s="72" t="s">
        <v>562</v>
      </c>
      <c r="D129" s="73" t="s">
        <v>564</v>
      </c>
      <c r="E129" s="71" t="s">
        <v>563</v>
      </c>
      <c r="F129" s="73"/>
      <c r="G129" s="74" t="s">
        <v>2766</v>
      </c>
      <c r="H129" s="73"/>
      <c r="I129" s="77" t="s">
        <v>2781</v>
      </c>
      <c r="J129" s="74" t="b">
        <v>1</v>
      </c>
      <c r="K129" s="71" t="s">
        <v>565</v>
      </c>
      <c r="L129" s="71" t="s">
        <v>2941</v>
      </c>
      <c r="M129" s="76" t="s">
        <v>2999</v>
      </c>
    </row>
    <row r="130" ht="21.0" customHeight="1">
      <c r="A130" s="70">
        <v>116.0</v>
      </c>
      <c r="B130" s="71" t="s">
        <v>39</v>
      </c>
      <c r="C130" s="72" t="s">
        <v>570</v>
      </c>
      <c r="D130" s="73" t="s">
        <v>564</v>
      </c>
      <c r="E130" s="71" t="s">
        <v>563</v>
      </c>
      <c r="F130" s="73"/>
      <c r="G130" s="74" t="s">
        <v>2766</v>
      </c>
      <c r="H130" s="73"/>
      <c r="I130" s="77" t="s">
        <v>2781</v>
      </c>
      <c r="J130" s="74" t="b">
        <v>1</v>
      </c>
      <c r="K130" s="71" t="s">
        <v>571</v>
      </c>
      <c r="L130" s="71" t="s">
        <v>2941</v>
      </c>
      <c r="M130" s="76" t="s">
        <v>3000</v>
      </c>
    </row>
    <row r="131" ht="21.0" customHeight="1">
      <c r="A131" s="70">
        <v>117.0</v>
      </c>
      <c r="B131" s="71" t="s">
        <v>39</v>
      </c>
      <c r="C131" s="72" t="s">
        <v>576</v>
      </c>
      <c r="D131" s="73" t="s">
        <v>578</v>
      </c>
      <c r="E131" s="71" t="s">
        <v>577</v>
      </c>
      <c r="F131" s="73"/>
      <c r="G131" s="74" t="s">
        <v>2766</v>
      </c>
      <c r="H131" s="73"/>
      <c r="I131" s="77" t="s">
        <v>2781</v>
      </c>
      <c r="J131" s="74" t="b">
        <v>1</v>
      </c>
      <c r="K131" s="71" t="s">
        <v>579</v>
      </c>
      <c r="L131" s="71" t="s">
        <v>2941</v>
      </c>
      <c r="M131" s="76" t="s">
        <v>3001</v>
      </c>
    </row>
    <row r="132" ht="21.0" customHeight="1">
      <c r="A132" s="70">
        <v>118.0</v>
      </c>
      <c r="B132" s="71" t="s">
        <v>39</v>
      </c>
      <c r="C132" s="72" t="s">
        <v>584</v>
      </c>
      <c r="D132" s="73" t="s">
        <v>578</v>
      </c>
      <c r="E132" s="71" t="s">
        <v>577</v>
      </c>
      <c r="F132" s="73"/>
      <c r="G132" s="74" t="s">
        <v>2766</v>
      </c>
      <c r="H132" s="73"/>
      <c r="I132" s="77" t="s">
        <v>2781</v>
      </c>
      <c r="J132" s="74" t="b">
        <v>1</v>
      </c>
      <c r="K132" s="71" t="s">
        <v>585</v>
      </c>
      <c r="L132" s="71" t="s">
        <v>2941</v>
      </c>
      <c r="M132" s="76" t="s">
        <v>3002</v>
      </c>
    </row>
    <row r="133" ht="21.0" customHeight="1">
      <c r="A133" s="70">
        <v>119.0</v>
      </c>
      <c r="B133" s="71" t="s">
        <v>39</v>
      </c>
      <c r="C133" s="72" t="s">
        <v>590</v>
      </c>
      <c r="D133" s="73" t="s">
        <v>578</v>
      </c>
      <c r="E133" s="71" t="s">
        <v>577</v>
      </c>
      <c r="F133" s="73"/>
      <c r="G133" s="74" t="s">
        <v>2766</v>
      </c>
      <c r="H133" s="73"/>
      <c r="I133" s="77" t="s">
        <v>2781</v>
      </c>
      <c r="J133" s="74" t="b">
        <v>1</v>
      </c>
      <c r="K133" s="71" t="s">
        <v>591</v>
      </c>
      <c r="L133" s="71" t="s">
        <v>2941</v>
      </c>
      <c r="M133" s="76" t="s">
        <v>3003</v>
      </c>
    </row>
    <row r="134" ht="21.0" customHeight="1">
      <c r="A134" s="70">
        <v>120.0</v>
      </c>
      <c r="B134" s="71" t="s">
        <v>39</v>
      </c>
      <c r="C134" s="72" t="s">
        <v>602</v>
      </c>
      <c r="D134" s="73" t="s">
        <v>604</v>
      </c>
      <c r="E134" s="71" t="s">
        <v>603</v>
      </c>
      <c r="F134" s="73"/>
      <c r="G134" s="74" t="s">
        <v>2766</v>
      </c>
      <c r="H134" s="73"/>
      <c r="I134" s="77" t="s">
        <v>2781</v>
      </c>
      <c r="J134" s="74" t="b">
        <v>1</v>
      </c>
      <c r="K134" s="71" t="s">
        <v>605</v>
      </c>
      <c r="L134" s="71" t="s">
        <v>2941</v>
      </c>
      <c r="M134" s="76" t="s">
        <v>3004</v>
      </c>
    </row>
    <row r="135" ht="21.0" customHeight="1">
      <c r="A135" s="70">
        <v>121.0</v>
      </c>
      <c r="B135" s="71" t="s">
        <v>39</v>
      </c>
      <c r="C135" s="72" t="s">
        <v>610</v>
      </c>
      <c r="D135" s="73" t="s">
        <v>604</v>
      </c>
      <c r="E135" s="71" t="s">
        <v>603</v>
      </c>
      <c r="F135" s="73"/>
      <c r="G135" s="74" t="s">
        <v>2766</v>
      </c>
      <c r="H135" s="73"/>
      <c r="I135" s="77" t="s">
        <v>2781</v>
      </c>
      <c r="J135" s="74" t="b">
        <v>1</v>
      </c>
      <c r="K135" s="71" t="s">
        <v>611</v>
      </c>
      <c r="L135" s="71" t="s">
        <v>2941</v>
      </c>
      <c r="M135" s="76" t="s">
        <v>3005</v>
      </c>
    </row>
    <row r="136" ht="21.0" customHeight="1">
      <c r="A136" s="70">
        <v>122.0</v>
      </c>
      <c r="B136" s="71" t="s">
        <v>39</v>
      </c>
      <c r="C136" s="72" t="s">
        <v>616</v>
      </c>
      <c r="D136" s="73" t="s">
        <v>604</v>
      </c>
      <c r="E136" s="71" t="s">
        <v>603</v>
      </c>
      <c r="F136" s="73"/>
      <c r="G136" s="74" t="s">
        <v>2766</v>
      </c>
      <c r="H136" s="73"/>
      <c r="I136" s="77" t="s">
        <v>2781</v>
      </c>
      <c r="J136" s="74" t="b">
        <v>1</v>
      </c>
      <c r="K136" s="71" t="s">
        <v>617</v>
      </c>
      <c r="L136" s="71" t="s">
        <v>2941</v>
      </c>
      <c r="M136" s="76" t="s">
        <v>3006</v>
      </c>
    </row>
    <row r="137" ht="21.0" customHeight="1">
      <c r="A137" s="70">
        <v>123.0</v>
      </c>
      <c r="B137" s="71" t="s">
        <v>39</v>
      </c>
      <c r="C137" s="72" t="s">
        <v>622</v>
      </c>
      <c r="D137" s="73" t="s">
        <v>604</v>
      </c>
      <c r="E137" s="71" t="s">
        <v>603</v>
      </c>
      <c r="F137" s="73"/>
      <c r="G137" s="74" t="s">
        <v>2766</v>
      </c>
      <c r="H137" s="73"/>
      <c r="I137" s="77" t="s">
        <v>2781</v>
      </c>
      <c r="J137" s="74" t="b">
        <v>1</v>
      </c>
      <c r="K137" s="71" t="s">
        <v>623</v>
      </c>
      <c r="L137" s="71" t="s">
        <v>2941</v>
      </c>
      <c r="M137" s="76" t="s">
        <v>3007</v>
      </c>
    </row>
    <row r="138" ht="21.0" customHeight="1">
      <c r="A138" s="70">
        <v>124.0</v>
      </c>
      <c r="B138" s="71" t="s">
        <v>39</v>
      </c>
      <c r="C138" s="72" t="s">
        <v>628</v>
      </c>
      <c r="D138" s="73" t="s">
        <v>604</v>
      </c>
      <c r="E138" s="71" t="s">
        <v>603</v>
      </c>
      <c r="F138" s="73"/>
      <c r="G138" s="74" t="s">
        <v>2766</v>
      </c>
      <c r="H138" s="73"/>
      <c r="I138" s="77" t="s">
        <v>2781</v>
      </c>
      <c r="J138" s="74" t="b">
        <v>1</v>
      </c>
      <c r="K138" s="71" t="s">
        <v>629</v>
      </c>
      <c r="L138" s="71" t="s">
        <v>2941</v>
      </c>
      <c r="M138" s="76" t="s">
        <v>3008</v>
      </c>
    </row>
    <row r="139" ht="21.0" customHeight="1">
      <c r="A139" s="70">
        <v>125.0</v>
      </c>
      <c r="B139" s="71" t="s">
        <v>39</v>
      </c>
      <c r="C139" s="72" t="s">
        <v>641</v>
      </c>
      <c r="D139" s="73" t="s">
        <v>643</v>
      </c>
      <c r="E139" s="71" t="s">
        <v>642</v>
      </c>
      <c r="F139" s="73"/>
      <c r="G139" s="74" t="s">
        <v>2766</v>
      </c>
      <c r="H139" s="73"/>
      <c r="I139" s="77" t="s">
        <v>2781</v>
      </c>
      <c r="J139" s="74" t="b">
        <v>1</v>
      </c>
      <c r="K139" s="71" t="s">
        <v>644</v>
      </c>
      <c r="L139" s="71" t="s">
        <v>2941</v>
      </c>
      <c r="M139" s="76" t="s">
        <v>3009</v>
      </c>
    </row>
    <row r="140" ht="21.0" customHeight="1">
      <c r="A140" s="70">
        <v>126.0</v>
      </c>
      <c r="B140" s="71" t="s">
        <v>39</v>
      </c>
      <c r="C140" s="72" t="s">
        <v>649</v>
      </c>
      <c r="D140" s="73" t="s">
        <v>643</v>
      </c>
      <c r="E140" s="71" t="s">
        <v>642</v>
      </c>
      <c r="F140" s="73"/>
      <c r="G140" s="74" t="s">
        <v>2766</v>
      </c>
      <c r="H140" s="73"/>
      <c r="I140" s="77" t="s">
        <v>2781</v>
      </c>
      <c r="J140" s="74" t="b">
        <v>1</v>
      </c>
      <c r="K140" s="71" t="s">
        <v>650</v>
      </c>
      <c r="L140" s="71" t="s">
        <v>2941</v>
      </c>
      <c r="M140" s="76" t="s">
        <v>3010</v>
      </c>
    </row>
    <row r="141" ht="21.0" customHeight="1">
      <c r="A141" s="70">
        <v>127.0</v>
      </c>
      <c r="B141" s="71" t="s">
        <v>39</v>
      </c>
      <c r="C141" s="72" t="s">
        <v>655</v>
      </c>
      <c r="D141" s="73" t="s">
        <v>643</v>
      </c>
      <c r="E141" s="71" t="s">
        <v>642</v>
      </c>
      <c r="F141" s="73"/>
      <c r="G141" s="74" t="s">
        <v>2766</v>
      </c>
      <c r="H141" s="73"/>
      <c r="I141" s="77" t="s">
        <v>2781</v>
      </c>
      <c r="J141" s="74" t="b">
        <v>1</v>
      </c>
      <c r="K141" s="71" t="s">
        <v>656</v>
      </c>
      <c r="L141" s="71" t="s">
        <v>2941</v>
      </c>
      <c r="M141" s="76" t="s">
        <v>3011</v>
      </c>
    </row>
    <row r="142" ht="21.0" customHeight="1">
      <c r="A142" s="70">
        <v>128.0</v>
      </c>
      <c r="B142" s="71" t="s">
        <v>39</v>
      </c>
      <c r="C142" s="72" t="s">
        <v>661</v>
      </c>
      <c r="D142" s="73" t="s">
        <v>643</v>
      </c>
      <c r="E142" s="71" t="s">
        <v>642</v>
      </c>
      <c r="F142" s="73"/>
      <c r="G142" s="74" t="s">
        <v>2766</v>
      </c>
      <c r="H142" s="73"/>
      <c r="I142" s="77" t="s">
        <v>2781</v>
      </c>
      <c r="J142" s="74" t="b">
        <v>1</v>
      </c>
      <c r="K142" s="71" t="s">
        <v>662</v>
      </c>
      <c r="L142" s="71" t="s">
        <v>2941</v>
      </c>
      <c r="M142" s="76" t="s">
        <v>3012</v>
      </c>
    </row>
    <row r="143" ht="21.0" customHeight="1">
      <c r="A143" s="70">
        <v>129.0</v>
      </c>
      <c r="B143" s="71" t="s">
        <v>39</v>
      </c>
      <c r="C143" s="72" t="s">
        <v>667</v>
      </c>
      <c r="D143" s="73" t="s">
        <v>643</v>
      </c>
      <c r="E143" s="71" t="s">
        <v>642</v>
      </c>
      <c r="F143" s="73"/>
      <c r="G143" s="74" t="s">
        <v>2766</v>
      </c>
      <c r="H143" s="73"/>
      <c r="I143" s="77" t="s">
        <v>2781</v>
      </c>
      <c r="J143" s="74" t="b">
        <v>1</v>
      </c>
      <c r="K143" s="71" t="s">
        <v>668</v>
      </c>
      <c r="L143" s="71" t="s">
        <v>2941</v>
      </c>
      <c r="M143" s="76" t="s">
        <v>3013</v>
      </c>
    </row>
    <row r="144" ht="21.0" customHeight="1">
      <c r="A144" s="70">
        <v>130.0</v>
      </c>
      <c r="B144" s="71" t="s">
        <v>39</v>
      </c>
      <c r="C144" s="72" t="s">
        <v>673</v>
      </c>
      <c r="D144" s="73" t="s">
        <v>643</v>
      </c>
      <c r="E144" s="71" t="s">
        <v>642</v>
      </c>
      <c r="F144" s="73"/>
      <c r="G144" s="74" t="s">
        <v>2766</v>
      </c>
      <c r="H144" s="73"/>
      <c r="I144" s="77" t="s">
        <v>2781</v>
      </c>
      <c r="J144" s="74" t="b">
        <v>1</v>
      </c>
      <c r="K144" s="71" t="s">
        <v>674</v>
      </c>
      <c r="L144" s="71" t="s">
        <v>2941</v>
      </c>
      <c r="M144" s="76" t="s">
        <v>3014</v>
      </c>
    </row>
    <row r="145" ht="21.0" customHeight="1">
      <c r="A145" s="70">
        <v>131.0</v>
      </c>
      <c r="B145" s="71" t="s">
        <v>39</v>
      </c>
      <c r="C145" s="72" t="s">
        <v>678</v>
      </c>
      <c r="D145" s="73" t="s">
        <v>643</v>
      </c>
      <c r="E145" s="71" t="s">
        <v>642</v>
      </c>
      <c r="F145" s="73"/>
      <c r="G145" s="74" t="s">
        <v>2766</v>
      </c>
      <c r="H145" s="73"/>
      <c r="I145" s="77" t="s">
        <v>2781</v>
      </c>
      <c r="J145" s="74" t="b">
        <v>1</v>
      </c>
      <c r="K145" s="71" t="s">
        <v>679</v>
      </c>
      <c r="L145" s="71" t="s">
        <v>2941</v>
      </c>
      <c r="M145" s="76" t="s">
        <v>3015</v>
      </c>
    </row>
    <row r="146" ht="21.0" customHeight="1">
      <c r="A146" s="70">
        <v>132.0</v>
      </c>
      <c r="B146" s="71" t="s">
        <v>39</v>
      </c>
      <c r="C146" s="72" t="s">
        <v>683</v>
      </c>
      <c r="D146" s="73" t="s">
        <v>643</v>
      </c>
      <c r="E146" s="71" t="s">
        <v>642</v>
      </c>
      <c r="F146" s="73"/>
      <c r="G146" s="74" t="s">
        <v>2766</v>
      </c>
      <c r="H146" s="73"/>
      <c r="I146" s="77" t="s">
        <v>2781</v>
      </c>
      <c r="J146" s="74" t="b">
        <v>1</v>
      </c>
      <c r="K146" s="71" t="s">
        <v>684</v>
      </c>
      <c r="L146" s="71" t="s">
        <v>2941</v>
      </c>
      <c r="M146" s="76" t="s">
        <v>3016</v>
      </c>
    </row>
    <row r="147" ht="21.0" customHeight="1">
      <c r="A147" s="70">
        <v>133.0</v>
      </c>
      <c r="B147" s="71" t="s">
        <v>39</v>
      </c>
      <c r="C147" s="72" t="s">
        <v>689</v>
      </c>
      <c r="D147" s="73" t="s">
        <v>643</v>
      </c>
      <c r="E147" s="71" t="s">
        <v>642</v>
      </c>
      <c r="F147" s="73"/>
      <c r="G147" s="74" t="s">
        <v>2766</v>
      </c>
      <c r="H147" s="73"/>
      <c r="I147" s="77" t="s">
        <v>2781</v>
      </c>
      <c r="J147" s="74" t="b">
        <v>1</v>
      </c>
      <c r="K147" s="71" t="s">
        <v>690</v>
      </c>
      <c r="L147" s="71" t="s">
        <v>2941</v>
      </c>
      <c r="M147" s="76" t="s">
        <v>3017</v>
      </c>
    </row>
    <row r="148" ht="21.0" customHeight="1">
      <c r="A148" s="70">
        <v>134.0</v>
      </c>
      <c r="B148" s="71" t="s">
        <v>39</v>
      </c>
      <c r="C148" s="72" t="s">
        <v>701</v>
      </c>
      <c r="D148" s="73" t="s">
        <v>643</v>
      </c>
      <c r="E148" s="71" t="s">
        <v>642</v>
      </c>
      <c r="F148" s="73"/>
      <c r="G148" s="74" t="s">
        <v>2766</v>
      </c>
      <c r="H148" s="73"/>
      <c r="I148" s="77" t="s">
        <v>2781</v>
      </c>
      <c r="J148" s="74" t="b">
        <v>1</v>
      </c>
      <c r="K148" s="71" t="s">
        <v>702</v>
      </c>
      <c r="L148" s="71" t="s">
        <v>2941</v>
      </c>
      <c r="M148" s="76" t="s">
        <v>3018</v>
      </c>
    </row>
    <row r="149" ht="21.0" customHeight="1">
      <c r="A149" s="70">
        <v>135.0</v>
      </c>
      <c r="B149" s="71" t="s">
        <v>39</v>
      </c>
      <c r="C149" s="72" t="s">
        <v>695</v>
      </c>
      <c r="D149" s="73" t="s">
        <v>643</v>
      </c>
      <c r="E149" s="71" t="s">
        <v>642</v>
      </c>
      <c r="F149" s="73"/>
      <c r="G149" s="74" t="s">
        <v>2766</v>
      </c>
      <c r="H149" s="73"/>
      <c r="I149" s="77" t="s">
        <v>2781</v>
      </c>
      <c r="J149" s="74" t="b">
        <v>1</v>
      </c>
      <c r="K149" s="71" t="s">
        <v>696</v>
      </c>
      <c r="L149" s="71" t="s">
        <v>2941</v>
      </c>
      <c r="M149" s="76" t="s">
        <v>3019</v>
      </c>
    </row>
    <row r="150" ht="21.0" customHeight="1">
      <c r="A150" s="70">
        <v>136.0</v>
      </c>
      <c r="B150" s="71" t="s">
        <v>39</v>
      </c>
      <c r="C150" s="72" t="s">
        <v>751</v>
      </c>
      <c r="D150" s="73" t="s">
        <v>753</v>
      </c>
      <c r="E150" s="71" t="s">
        <v>752</v>
      </c>
      <c r="F150" s="73"/>
      <c r="G150" s="74" t="s">
        <v>2766</v>
      </c>
      <c r="H150" s="73"/>
      <c r="I150" s="77" t="s">
        <v>2781</v>
      </c>
      <c r="J150" s="74" t="b">
        <v>1</v>
      </c>
      <c r="K150" s="71" t="s">
        <v>754</v>
      </c>
      <c r="L150" s="71" t="s">
        <v>2941</v>
      </c>
      <c r="M150" s="76" t="s">
        <v>3020</v>
      </c>
    </row>
    <row r="151" ht="21.0" customHeight="1">
      <c r="A151" s="70">
        <v>137.0</v>
      </c>
      <c r="B151" s="71" t="s">
        <v>39</v>
      </c>
      <c r="C151" s="72" t="s">
        <v>759</v>
      </c>
      <c r="D151" s="73" t="s">
        <v>760</v>
      </c>
      <c r="E151" s="71" t="s">
        <v>752</v>
      </c>
      <c r="F151" s="73"/>
      <c r="G151" s="74" t="s">
        <v>2766</v>
      </c>
      <c r="H151" s="73"/>
      <c r="I151" s="77" t="s">
        <v>2781</v>
      </c>
      <c r="J151" s="74" t="b">
        <v>1</v>
      </c>
      <c r="K151" s="71" t="s">
        <v>761</v>
      </c>
      <c r="L151" s="71" t="s">
        <v>2941</v>
      </c>
      <c r="M151" s="76" t="s">
        <v>3021</v>
      </c>
    </row>
    <row r="152" ht="21.0" customHeight="1">
      <c r="A152" s="70">
        <v>138.0</v>
      </c>
      <c r="B152" s="71" t="s">
        <v>39</v>
      </c>
      <c r="C152" s="72" t="s">
        <v>766</v>
      </c>
      <c r="D152" s="73" t="s">
        <v>767</v>
      </c>
      <c r="E152" s="71" t="s">
        <v>752</v>
      </c>
      <c r="F152" s="73"/>
      <c r="G152" s="74" t="s">
        <v>2766</v>
      </c>
      <c r="H152" s="73"/>
      <c r="I152" s="77" t="s">
        <v>2781</v>
      </c>
      <c r="J152" s="74" t="b">
        <v>1</v>
      </c>
      <c r="K152" s="71" t="s">
        <v>768</v>
      </c>
      <c r="L152" s="71" t="s">
        <v>2941</v>
      </c>
      <c r="M152" s="76" t="s">
        <v>3022</v>
      </c>
    </row>
    <row r="153" ht="21.0" customHeight="1">
      <c r="A153" s="70">
        <v>139.0</v>
      </c>
      <c r="B153" s="71" t="s">
        <v>39</v>
      </c>
      <c r="C153" s="72" t="s">
        <v>773</v>
      </c>
      <c r="D153" s="73" t="s">
        <v>775</v>
      </c>
      <c r="E153" s="71" t="s">
        <v>774</v>
      </c>
      <c r="F153" s="73"/>
      <c r="G153" s="74" t="s">
        <v>2766</v>
      </c>
      <c r="H153" s="73"/>
      <c r="I153" s="77" t="s">
        <v>2781</v>
      </c>
      <c r="J153" s="74" t="b">
        <v>1</v>
      </c>
      <c r="K153" s="71" t="s">
        <v>776</v>
      </c>
      <c r="L153" s="71" t="s">
        <v>2941</v>
      </c>
      <c r="M153" s="76" t="s">
        <v>3023</v>
      </c>
    </row>
    <row r="154" ht="21.0" customHeight="1">
      <c r="A154" s="70">
        <v>140.0</v>
      </c>
      <c r="B154" s="71" t="s">
        <v>39</v>
      </c>
      <c r="C154" s="72" t="s">
        <v>781</v>
      </c>
      <c r="D154" s="73" t="s">
        <v>782</v>
      </c>
      <c r="E154" s="71" t="s">
        <v>774</v>
      </c>
      <c r="F154" s="73"/>
      <c r="G154" s="74" t="s">
        <v>2766</v>
      </c>
      <c r="H154" s="73"/>
      <c r="I154" s="77" t="s">
        <v>2781</v>
      </c>
      <c r="J154" s="74" t="b">
        <v>1</v>
      </c>
      <c r="K154" s="71" t="s">
        <v>783</v>
      </c>
      <c r="L154" s="71" t="s">
        <v>2941</v>
      </c>
      <c r="M154" s="76" t="s">
        <v>3024</v>
      </c>
    </row>
    <row r="155" ht="21.0" customHeight="1">
      <c r="A155" s="70">
        <v>141.0</v>
      </c>
      <c r="B155" s="71" t="s">
        <v>39</v>
      </c>
      <c r="C155" s="72" t="s">
        <v>815</v>
      </c>
      <c r="D155" s="73" t="s">
        <v>817</v>
      </c>
      <c r="E155" s="71" t="s">
        <v>816</v>
      </c>
      <c r="F155" s="73"/>
      <c r="G155" s="74" t="s">
        <v>2766</v>
      </c>
      <c r="H155" s="73"/>
      <c r="I155" s="77" t="s">
        <v>2781</v>
      </c>
      <c r="J155" s="74" t="b">
        <v>1</v>
      </c>
      <c r="K155" s="71" t="s">
        <v>818</v>
      </c>
      <c r="L155" s="71" t="s">
        <v>2941</v>
      </c>
      <c r="M155" s="76" t="s">
        <v>3025</v>
      </c>
    </row>
    <row r="156" ht="21.0" customHeight="1">
      <c r="A156" s="70">
        <v>142.0</v>
      </c>
      <c r="B156" s="71" t="s">
        <v>39</v>
      </c>
      <c r="C156" s="72" t="s">
        <v>823</v>
      </c>
      <c r="D156" s="73" t="s">
        <v>824</v>
      </c>
      <c r="E156" s="71" t="s">
        <v>816</v>
      </c>
      <c r="F156" s="73"/>
      <c r="G156" s="74" t="s">
        <v>2766</v>
      </c>
      <c r="H156" s="73"/>
      <c r="I156" s="77" t="s">
        <v>2781</v>
      </c>
      <c r="J156" s="74" t="b">
        <v>1</v>
      </c>
      <c r="K156" s="71" t="s">
        <v>825</v>
      </c>
      <c r="L156" s="71" t="s">
        <v>2941</v>
      </c>
      <c r="M156" s="76" t="s">
        <v>3026</v>
      </c>
    </row>
    <row r="157" ht="21.0" customHeight="1">
      <c r="A157" s="70">
        <v>143.0</v>
      </c>
      <c r="B157" s="71" t="s">
        <v>39</v>
      </c>
      <c r="C157" s="72" t="s">
        <v>830</v>
      </c>
      <c r="D157" s="73" t="s">
        <v>832</v>
      </c>
      <c r="E157" s="71" t="s">
        <v>831</v>
      </c>
      <c r="F157" s="73"/>
      <c r="G157" s="74" t="s">
        <v>2766</v>
      </c>
      <c r="H157" s="73"/>
      <c r="I157" s="77" t="s">
        <v>2781</v>
      </c>
      <c r="J157" s="74" t="b">
        <v>1</v>
      </c>
      <c r="K157" s="71" t="s">
        <v>833</v>
      </c>
      <c r="L157" s="71" t="s">
        <v>2941</v>
      </c>
      <c r="M157" s="76" t="s">
        <v>3027</v>
      </c>
    </row>
    <row r="158" ht="21.0" customHeight="1">
      <c r="A158" s="70">
        <v>144.0</v>
      </c>
      <c r="B158" s="71" t="s">
        <v>39</v>
      </c>
      <c r="C158" s="72" t="s">
        <v>837</v>
      </c>
      <c r="D158" s="73" t="s">
        <v>838</v>
      </c>
      <c r="E158" s="71" t="s">
        <v>831</v>
      </c>
      <c r="F158" s="73"/>
      <c r="G158" s="74" t="s">
        <v>2766</v>
      </c>
      <c r="H158" s="73"/>
      <c r="I158" s="77" t="s">
        <v>2781</v>
      </c>
      <c r="J158" s="74" t="b">
        <v>1</v>
      </c>
      <c r="K158" s="71" t="s">
        <v>839</v>
      </c>
      <c r="L158" s="71" t="s">
        <v>2941</v>
      </c>
      <c r="M158" s="76" t="s">
        <v>3028</v>
      </c>
    </row>
    <row r="159" ht="21.0" customHeight="1">
      <c r="A159" s="70">
        <v>145.0</v>
      </c>
      <c r="B159" s="71" t="s">
        <v>39</v>
      </c>
      <c r="C159" s="72" t="s">
        <v>844</v>
      </c>
      <c r="D159" s="73" t="s">
        <v>846</v>
      </c>
      <c r="E159" s="71" t="s">
        <v>845</v>
      </c>
      <c r="F159" s="73"/>
      <c r="G159" s="74" t="s">
        <v>2766</v>
      </c>
      <c r="H159" s="73"/>
      <c r="I159" s="77" t="s">
        <v>2781</v>
      </c>
      <c r="J159" s="74" t="b">
        <v>1</v>
      </c>
      <c r="K159" s="71" t="s">
        <v>847</v>
      </c>
      <c r="L159" s="71" t="s">
        <v>2941</v>
      </c>
      <c r="M159" s="76" t="s">
        <v>3029</v>
      </c>
    </row>
    <row r="160" ht="21.0" customHeight="1">
      <c r="A160" s="70">
        <v>146.0</v>
      </c>
      <c r="B160" s="71" t="s">
        <v>39</v>
      </c>
      <c r="C160" s="72" t="s">
        <v>852</v>
      </c>
      <c r="D160" s="73" t="s">
        <v>846</v>
      </c>
      <c r="E160" s="71" t="s">
        <v>845</v>
      </c>
      <c r="F160" s="73"/>
      <c r="G160" s="74" t="s">
        <v>2766</v>
      </c>
      <c r="H160" s="73"/>
      <c r="I160" s="77" t="s">
        <v>2781</v>
      </c>
      <c r="J160" s="74" t="b">
        <v>1</v>
      </c>
      <c r="K160" s="71" t="s">
        <v>853</v>
      </c>
      <c r="L160" s="71" t="s">
        <v>2941</v>
      </c>
      <c r="M160" s="76" t="s">
        <v>3030</v>
      </c>
    </row>
    <row r="161" ht="21.0" customHeight="1">
      <c r="A161" s="70">
        <v>147.0</v>
      </c>
      <c r="B161" s="71" t="s">
        <v>39</v>
      </c>
      <c r="C161" s="72" t="s">
        <v>886</v>
      </c>
      <c r="D161" s="73" t="s">
        <v>888</v>
      </c>
      <c r="E161" s="71" t="s">
        <v>887</v>
      </c>
      <c r="F161" s="73"/>
      <c r="G161" s="74" t="s">
        <v>2766</v>
      </c>
      <c r="H161" s="73"/>
      <c r="I161" s="77" t="s">
        <v>2781</v>
      </c>
      <c r="J161" s="74" t="b">
        <v>1</v>
      </c>
      <c r="K161" s="71" t="s">
        <v>889</v>
      </c>
      <c r="L161" s="71" t="s">
        <v>2941</v>
      </c>
      <c r="M161" s="76" t="s">
        <v>3031</v>
      </c>
    </row>
    <row r="162" ht="21.0" customHeight="1">
      <c r="A162" s="70">
        <v>148.0</v>
      </c>
      <c r="B162" s="71" t="s">
        <v>39</v>
      </c>
      <c r="C162" s="72" t="s">
        <v>894</v>
      </c>
      <c r="D162" s="73" t="s">
        <v>888</v>
      </c>
      <c r="E162" s="71" t="s">
        <v>887</v>
      </c>
      <c r="F162" s="73"/>
      <c r="G162" s="74" t="s">
        <v>2766</v>
      </c>
      <c r="H162" s="73"/>
      <c r="I162" s="77" t="s">
        <v>2781</v>
      </c>
      <c r="J162" s="74" t="b">
        <v>1</v>
      </c>
      <c r="K162" s="71" t="s">
        <v>895</v>
      </c>
      <c r="L162" s="71" t="s">
        <v>2941</v>
      </c>
      <c r="M162" s="76" t="s">
        <v>3032</v>
      </c>
    </row>
    <row r="163" ht="21.0" customHeight="1">
      <c r="A163" s="70">
        <v>149.0</v>
      </c>
      <c r="B163" s="71" t="s">
        <v>39</v>
      </c>
      <c r="C163" s="72" t="s">
        <v>900</v>
      </c>
      <c r="D163" s="73" t="s">
        <v>901</v>
      </c>
      <c r="E163" s="71" t="s">
        <v>887</v>
      </c>
      <c r="F163" s="73"/>
      <c r="G163" s="74" t="s">
        <v>2766</v>
      </c>
      <c r="H163" s="73"/>
      <c r="I163" s="77" t="s">
        <v>2781</v>
      </c>
      <c r="J163" s="74" t="b">
        <v>1</v>
      </c>
      <c r="K163" s="71" t="s">
        <v>902</v>
      </c>
      <c r="L163" s="71" t="s">
        <v>2941</v>
      </c>
      <c r="M163" s="76" t="s">
        <v>3033</v>
      </c>
    </row>
    <row r="164" ht="21.0" customHeight="1">
      <c r="A164" s="70">
        <v>150.0</v>
      </c>
      <c r="B164" s="71" t="s">
        <v>39</v>
      </c>
      <c r="C164" s="72" t="s">
        <v>907</v>
      </c>
      <c r="D164" s="73" t="s">
        <v>908</v>
      </c>
      <c r="E164" s="71" t="s">
        <v>887</v>
      </c>
      <c r="F164" s="73"/>
      <c r="G164" s="74" t="s">
        <v>2766</v>
      </c>
      <c r="H164" s="73"/>
      <c r="I164" s="77" t="s">
        <v>2781</v>
      </c>
      <c r="J164" s="74" t="b">
        <v>1</v>
      </c>
      <c r="K164" s="71" t="s">
        <v>909</v>
      </c>
      <c r="L164" s="71" t="s">
        <v>2941</v>
      </c>
      <c r="M164" s="76" t="s">
        <v>3034</v>
      </c>
    </row>
    <row r="165" ht="21.0" customHeight="1">
      <c r="A165" s="70">
        <v>151.0</v>
      </c>
      <c r="B165" s="71" t="s">
        <v>39</v>
      </c>
      <c r="C165" s="72" t="s">
        <v>985</v>
      </c>
      <c r="D165" s="73" t="s">
        <v>987</v>
      </c>
      <c r="E165" s="71" t="s">
        <v>986</v>
      </c>
      <c r="F165" s="73"/>
      <c r="G165" s="74" t="s">
        <v>2766</v>
      </c>
      <c r="H165" s="73"/>
      <c r="I165" s="77" t="s">
        <v>2781</v>
      </c>
      <c r="J165" s="74" t="b">
        <v>1</v>
      </c>
      <c r="K165" s="71" t="s">
        <v>988</v>
      </c>
      <c r="L165" s="71" t="s">
        <v>2941</v>
      </c>
      <c r="M165" s="76" t="s">
        <v>3035</v>
      </c>
    </row>
    <row r="166" ht="21.0" customHeight="1">
      <c r="A166" s="70">
        <v>152.0</v>
      </c>
      <c r="B166" s="71" t="s">
        <v>39</v>
      </c>
      <c r="C166" s="72" t="s">
        <v>993</v>
      </c>
      <c r="D166" s="73" t="s">
        <v>994</v>
      </c>
      <c r="E166" s="71" t="s">
        <v>986</v>
      </c>
      <c r="F166" s="73"/>
      <c r="G166" s="74" t="s">
        <v>2766</v>
      </c>
      <c r="H166" s="73"/>
      <c r="I166" s="77" t="s">
        <v>2781</v>
      </c>
      <c r="J166" s="74" t="b">
        <v>1</v>
      </c>
      <c r="K166" s="71" t="s">
        <v>995</v>
      </c>
      <c r="L166" s="71" t="s">
        <v>2941</v>
      </c>
      <c r="M166" s="76" t="s">
        <v>3036</v>
      </c>
    </row>
    <row r="167" ht="21.0" customHeight="1">
      <c r="A167" s="70">
        <v>153.0</v>
      </c>
      <c r="B167" s="71" t="s">
        <v>39</v>
      </c>
      <c r="C167" s="72" t="s">
        <v>1013</v>
      </c>
      <c r="D167" s="73" t="s">
        <v>1015</v>
      </c>
      <c r="E167" s="71" t="s">
        <v>1014</v>
      </c>
      <c r="F167" s="73"/>
      <c r="G167" s="74" t="s">
        <v>2766</v>
      </c>
      <c r="H167" s="73"/>
      <c r="I167" s="77" t="s">
        <v>2781</v>
      </c>
      <c r="J167" s="74" t="b">
        <v>1</v>
      </c>
      <c r="K167" s="71" t="s">
        <v>1016</v>
      </c>
      <c r="L167" s="71" t="s">
        <v>2941</v>
      </c>
      <c r="M167" s="76" t="s">
        <v>3037</v>
      </c>
    </row>
    <row r="168" ht="21.0" customHeight="1">
      <c r="A168" s="70">
        <v>154.0</v>
      </c>
      <c r="B168" s="71" t="s">
        <v>39</v>
      </c>
      <c r="C168" s="72" t="s">
        <v>1021</v>
      </c>
      <c r="D168" s="73" t="s">
        <v>1015</v>
      </c>
      <c r="E168" s="71" t="s">
        <v>1014</v>
      </c>
      <c r="F168" s="73"/>
      <c r="G168" s="74" t="s">
        <v>2766</v>
      </c>
      <c r="H168" s="73"/>
      <c r="I168" s="77" t="s">
        <v>2781</v>
      </c>
      <c r="J168" s="74" t="b">
        <v>1</v>
      </c>
      <c r="K168" s="71" t="s">
        <v>1022</v>
      </c>
      <c r="L168" s="71" t="s">
        <v>2941</v>
      </c>
      <c r="M168" s="76" t="s">
        <v>3038</v>
      </c>
    </row>
    <row r="169" ht="21.0" customHeight="1">
      <c r="A169" s="70">
        <v>155.0</v>
      </c>
      <c r="B169" s="71" t="s">
        <v>39</v>
      </c>
      <c r="C169" s="72" t="s">
        <v>1027</v>
      </c>
      <c r="D169" s="73" t="s">
        <v>1029</v>
      </c>
      <c r="E169" s="71" t="s">
        <v>1028</v>
      </c>
      <c r="F169" s="73"/>
      <c r="G169" s="74" t="s">
        <v>2766</v>
      </c>
      <c r="H169" s="73"/>
      <c r="I169" s="77" t="s">
        <v>2781</v>
      </c>
      <c r="J169" s="74" t="b">
        <v>1</v>
      </c>
      <c r="K169" s="71" t="s">
        <v>1030</v>
      </c>
      <c r="L169" s="71" t="s">
        <v>2941</v>
      </c>
      <c r="M169" s="76" t="s">
        <v>3039</v>
      </c>
    </row>
    <row r="170" ht="21.0" customHeight="1">
      <c r="A170" s="70">
        <v>156.0</v>
      </c>
      <c r="B170" s="71" t="s">
        <v>39</v>
      </c>
      <c r="C170" s="72" t="s">
        <v>1035</v>
      </c>
      <c r="D170" s="73" t="s">
        <v>1029</v>
      </c>
      <c r="E170" s="71" t="s">
        <v>1028</v>
      </c>
      <c r="F170" s="73"/>
      <c r="G170" s="74" t="s">
        <v>2766</v>
      </c>
      <c r="H170" s="73"/>
      <c r="I170" s="77" t="s">
        <v>2781</v>
      </c>
      <c r="J170" s="74" t="b">
        <v>1</v>
      </c>
      <c r="K170" s="71" t="s">
        <v>1036</v>
      </c>
      <c r="L170" s="71" t="s">
        <v>2941</v>
      </c>
      <c r="M170" s="76" t="s">
        <v>3040</v>
      </c>
    </row>
    <row r="171" ht="21.0" customHeight="1">
      <c r="A171" s="70">
        <v>157.0</v>
      </c>
      <c r="B171" s="71" t="s">
        <v>39</v>
      </c>
      <c r="C171" s="72" t="s">
        <v>1041</v>
      </c>
      <c r="D171" s="73" t="s">
        <v>1029</v>
      </c>
      <c r="E171" s="71" t="s">
        <v>1028</v>
      </c>
      <c r="F171" s="73"/>
      <c r="G171" s="74" t="s">
        <v>2766</v>
      </c>
      <c r="H171" s="73"/>
      <c r="I171" s="77" t="s">
        <v>2781</v>
      </c>
      <c r="J171" s="74" t="b">
        <v>1</v>
      </c>
      <c r="K171" s="71" t="s">
        <v>1042</v>
      </c>
      <c r="L171" s="71" t="s">
        <v>2941</v>
      </c>
      <c r="M171" s="76" t="s">
        <v>3041</v>
      </c>
    </row>
    <row r="172" ht="21.0" customHeight="1">
      <c r="A172" s="70">
        <v>158.0</v>
      </c>
      <c r="B172" s="71" t="s">
        <v>39</v>
      </c>
      <c r="C172" s="72" t="s">
        <v>1054</v>
      </c>
      <c r="D172" s="73" t="s">
        <v>1056</v>
      </c>
      <c r="E172" s="71" t="s">
        <v>1055</v>
      </c>
      <c r="F172" s="73"/>
      <c r="G172" s="74" t="s">
        <v>2766</v>
      </c>
      <c r="H172" s="73"/>
      <c r="I172" s="77" t="s">
        <v>2781</v>
      </c>
      <c r="J172" s="74" t="b">
        <v>1</v>
      </c>
      <c r="K172" s="71" t="s">
        <v>1057</v>
      </c>
      <c r="L172" s="71" t="s">
        <v>2941</v>
      </c>
      <c r="M172" s="76" t="s">
        <v>3042</v>
      </c>
    </row>
    <row r="173" ht="21.0" customHeight="1">
      <c r="A173" s="70">
        <v>159.0</v>
      </c>
      <c r="B173" s="71" t="s">
        <v>39</v>
      </c>
      <c r="C173" s="72" t="s">
        <v>1062</v>
      </c>
      <c r="D173" s="73" t="s">
        <v>1056</v>
      </c>
      <c r="E173" s="71" t="s">
        <v>1055</v>
      </c>
      <c r="F173" s="73"/>
      <c r="G173" s="74" t="s">
        <v>2766</v>
      </c>
      <c r="H173" s="73"/>
      <c r="I173" s="77" t="s">
        <v>2781</v>
      </c>
      <c r="J173" s="74" t="b">
        <v>1</v>
      </c>
      <c r="K173" s="71" t="s">
        <v>1063</v>
      </c>
      <c r="L173" s="71" t="s">
        <v>2941</v>
      </c>
      <c r="M173" s="76" t="s">
        <v>3043</v>
      </c>
    </row>
    <row r="174" ht="21.0" customHeight="1">
      <c r="A174" s="70">
        <v>160.0</v>
      </c>
      <c r="B174" s="71" t="s">
        <v>39</v>
      </c>
      <c r="C174" s="72" t="s">
        <v>1068</v>
      </c>
      <c r="D174" s="73" t="s">
        <v>1070</v>
      </c>
      <c r="E174" s="71" t="s">
        <v>1069</v>
      </c>
      <c r="F174" s="73"/>
      <c r="G174" s="74" t="s">
        <v>2766</v>
      </c>
      <c r="H174" s="73"/>
      <c r="I174" s="77" t="s">
        <v>2781</v>
      </c>
      <c r="J174" s="74" t="b">
        <v>1</v>
      </c>
      <c r="K174" s="71" t="s">
        <v>1071</v>
      </c>
      <c r="L174" s="71" t="s">
        <v>2941</v>
      </c>
      <c r="M174" s="76" t="s">
        <v>3044</v>
      </c>
    </row>
    <row r="175" ht="21.0" customHeight="1">
      <c r="A175" s="70">
        <v>161.0</v>
      </c>
      <c r="B175" s="71" t="s">
        <v>39</v>
      </c>
      <c r="C175" s="72" t="s">
        <v>1076</v>
      </c>
      <c r="D175" s="73" t="s">
        <v>1077</v>
      </c>
      <c r="E175" s="71" t="s">
        <v>1069</v>
      </c>
      <c r="F175" s="73"/>
      <c r="G175" s="74" t="s">
        <v>2766</v>
      </c>
      <c r="H175" s="73"/>
      <c r="I175" s="77" t="s">
        <v>2781</v>
      </c>
      <c r="J175" s="74" t="b">
        <v>1</v>
      </c>
      <c r="K175" s="71" t="s">
        <v>1078</v>
      </c>
      <c r="L175" s="71" t="s">
        <v>2941</v>
      </c>
      <c r="M175" s="76" t="s">
        <v>3045</v>
      </c>
    </row>
    <row r="176" ht="21.0" customHeight="1">
      <c r="A176" s="70">
        <v>162.0</v>
      </c>
      <c r="B176" s="71" t="s">
        <v>39</v>
      </c>
      <c r="C176" s="72" t="s">
        <v>1083</v>
      </c>
      <c r="D176" s="73" t="s">
        <v>1084</v>
      </c>
      <c r="E176" s="71" t="s">
        <v>1069</v>
      </c>
      <c r="F176" s="73"/>
      <c r="G176" s="74" t="s">
        <v>2766</v>
      </c>
      <c r="H176" s="73"/>
      <c r="I176" s="77" t="s">
        <v>2781</v>
      </c>
      <c r="J176" s="74" t="b">
        <v>1</v>
      </c>
      <c r="K176" s="71" t="s">
        <v>1085</v>
      </c>
      <c r="L176" s="71" t="s">
        <v>2941</v>
      </c>
      <c r="M176" s="76" t="s">
        <v>3046</v>
      </c>
    </row>
    <row r="177" ht="21.0" customHeight="1">
      <c r="A177" s="70">
        <v>163.0</v>
      </c>
      <c r="B177" s="71" t="s">
        <v>43</v>
      </c>
      <c r="C177" s="72" t="s">
        <v>1541</v>
      </c>
      <c r="D177" s="73" t="s">
        <v>1543</v>
      </c>
      <c r="E177" s="71" t="s">
        <v>1542</v>
      </c>
      <c r="F177" s="73"/>
      <c r="G177" s="74" t="s">
        <v>2766</v>
      </c>
      <c r="H177" s="73"/>
      <c r="I177" s="77" t="s">
        <v>2781</v>
      </c>
      <c r="J177" s="74" t="b">
        <v>1</v>
      </c>
      <c r="K177" s="71" t="s">
        <v>1544</v>
      </c>
      <c r="L177" s="71" t="s">
        <v>2941</v>
      </c>
      <c r="M177" s="76" t="s">
        <v>3047</v>
      </c>
    </row>
    <row r="178" ht="21.0" customHeight="1">
      <c r="A178" s="70">
        <v>164.0</v>
      </c>
      <c r="B178" s="71" t="s">
        <v>43</v>
      </c>
      <c r="C178" s="72" t="s">
        <v>1549</v>
      </c>
      <c r="D178" s="73" t="s">
        <v>1543</v>
      </c>
      <c r="E178" s="71" t="s">
        <v>1542</v>
      </c>
      <c r="F178" s="73"/>
      <c r="G178" s="74" t="s">
        <v>2766</v>
      </c>
      <c r="H178" s="73"/>
      <c r="I178" s="77" t="s">
        <v>2781</v>
      </c>
      <c r="J178" s="74" t="b">
        <v>1</v>
      </c>
      <c r="K178" s="71" t="s">
        <v>1550</v>
      </c>
      <c r="L178" s="71" t="s">
        <v>2941</v>
      </c>
      <c r="M178" s="76" t="s">
        <v>3048</v>
      </c>
    </row>
    <row r="179" ht="21.0" customHeight="1">
      <c r="A179" s="70">
        <v>165.0</v>
      </c>
      <c r="B179" s="71" t="s">
        <v>43</v>
      </c>
      <c r="C179" s="72" t="s">
        <v>1555</v>
      </c>
      <c r="D179" s="73" t="s">
        <v>1543</v>
      </c>
      <c r="E179" s="71" t="s">
        <v>1542</v>
      </c>
      <c r="F179" s="73"/>
      <c r="G179" s="74" t="s">
        <v>2766</v>
      </c>
      <c r="H179" s="73"/>
      <c r="I179" s="77" t="s">
        <v>2781</v>
      </c>
      <c r="J179" s="74" t="b">
        <v>1</v>
      </c>
      <c r="K179" s="71" t="s">
        <v>1556</v>
      </c>
      <c r="L179" s="71" t="s">
        <v>2941</v>
      </c>
      <c r="M179" s="76" t="s">
        <v>3049</v>
      </c>
    </row>
    <row r="180" ht="21.0" customHeight="1">
      <c r="A180" s="70">
        <v>166.0</v>
      </c>
      <c r="B180" s="71" t="s">
        <v>43</v>
      </c>
      <c r="C180" s="72" t="s">
        <v>1568</v>
      </c>
      <c r="D180" s="73" t="s">
        <v>1570</v>
      </c>
      <c r="E180" s="71" t="s">
        <v>1569</v>
      </c>
      <c r="F180" s="73"/>
      <c r="G180" s="74" t="s">
        <v>2766</v>
      </c>
      <c r="H180" s="73"/>
      <c r="I180" s="77" t="s">
        <v>2781</v>
      </c>
      <c r="J180" s="74" t="b">
        <v>1</v>
      </c>
      <c r="K180" s="71" t="s">
        <v>1571</v>
      </c>
      <c r="L180" s="71" t="s">
        <v>2941</v>
      </c>
      <c r="M180" s="76" t="s">
        <v>3050</v>
      </c>
    </row>
    <row r="181" ht="21.0" customHeight="1">
      <c r="A181" s="70">
        <v>167.0</v>
      </c>
      <c r="B181" s="71" t="s">
        <v>43</v>
      </c>
      <c r="C181" s="72" t="s">
        <v>1576</v>
      </c>
      <c r="D181" s="73" t="s">
        <v>1570</v>
      </c>
      <c r="E181" s="71" t="s">
        <v>1569</v>
      </c>
      <c r="F181" s="73"/>
      <c r="G181" s="74" t="s">
        <v>2766</v>
      </c>
      <c r="H181" s="73"/>
      <c r="I181" s="77" t="s">
        <v>2781</v>
      </c>
      <c r="J181" s="74" t="b">
        <v>1</v>
      </c>
      <c r="K181" s="71" t="s">
        <v>1577</v>
      </c>
      <c r="L181" s="71" t="s">
        <v>2941</v>
      </c>
      <c r="M181" s="76" t="s">
        <v>3051</v>
      </c>
    </row>
    <row r="182" ht="21.0" customHeight="1">
      <c r="A182" s="70">
        <v>168.0</v>
      </c>
      <c r="B182" s="71" t="s">
        <v>43</v>
      </c>
      <c r="C182" s="72" t="s">
        <v>1582</v>
      </c>
      <c r="D182" s="73" t="s">
        <v>1570</v>
      </c>
      <c r="E182" s="71" t="s">
        <v>1569</v>
      </c>
      <c r="F182" s="73"/>
      <c r="G182" s="74" t="s">
        <v>2766</v>
      </c>
      <c r="H182" s="73"/>
      <c r="I182" s="77" t="s">
        <v>2781</v>
      </c>
      <c r="J182" s="74" t="b">
        <v>1</v>
      </c>
      <c r="K182" s="71" t="s">
        <v>1583</v>
      </c>
      <c r="L182" s="71" t="s">
        <v>2941</v>
      </c>
      <c r="M182" s="76" t="s">
        <v>3052</v>
      </c>
    </row>
    <row r="183" ht="21.0" customHeight="1">
      <c r="A183" s="70">
        <v>169.0</v>
      </c>
      <c r="B183" s="71" t="s">
        <v>43</v>
      </c>
      <c r="C183" s="72" t="s">
        <v>1595</v>
      </c>
      <c r="D183" s="73" t="s">
        <v>1596</v>
      </c>
      <c r="E183" s="71" t="s">
        <v>1588</v>
      </c>
      <c r="F183" s="73"/>
      <c r="G183" s="74" t="s">
        <v>2766</v>
      </c>
      <c r="H183" s="73"/>
      <c r="I183" s="77" t="s">
        <v>2781</v>
      </c>
      <c r="J183" s="74" t="b">
        <v>1</v>
      </c>
      <c r="K183" s="71" t="s">
        <v>1597</v>
      </c>
      <c r="L183" s="71" t="s">
        <v>2941</v>
      </c>
      <c r="M183" s="76" t="s">
        <v>3053</v>
      </c>
    </row>
    <row r="184" ht="21.0" customHeight="1">
      <c r="A184" s="70">
        <v>170.0</v>
      </c>
      <c r="B184" s="71" t="s">
        <v>43</v>
      </c>
      <c r="C184" s="72" t="s">
        <v>1616</v>
      </c>
      <c r="D184" s="73" t="s">
        <v>1618</v>
      </c>
      <c r="E184" s="71" t="s">
        <v>1617</v>
      </c>
      <c r="F184" s="73"/>
      <c r="G184" s="74" t="s">
        <v>2766</v>
      </c>
      <c r="H184" s="73"/>
      <c r="I184" s="77" t="s">
        <v>2781</v>
      </c>
      <c r="J184" s="74" t="b">
        <v>1</v>
      </c>
      <c r="K184" s="71" t="s">
        <v>1619</v>
      </c>
      <c r="L184" s="71" t="s">
        <v>2941</v>
      </c>
      <c r="M184" s="76" t="s">
        <v>3054</v>
      </c>
    </row>
    <row r="185" ht="21.0" customHeight="1">
      <c r="A185" s="70">
        <v>171.0</v>
      </c>
      <c r="B185" s="71" t="s">
        <v>43</v>
      </c>
      <c r="C185" s="72" t="s">
        <v>1624</v>
      </c>
      <c r="D185" s="73" t="s">
        <v>1625</v>
      </c>
      <c r="E185" s="71" t="s">
        <v>1617</v>
      </c>
      <c r="F185" s="73"/>
      <c r="G185" s="74" t="s">
        <v>2766</v>
      </c>
      <c r="H185" s="73"/>
      <c r="I185" s="77" t="s">
        <v>2781</v>
      </c>
      <c r="J185" s="74" t="b">
        <v>1</v>
      </c>
      <c r="K185" s="71" t="s">
        <v>1626</v>
      </c>
      <c r="L185" s="71" t="s">
        <v>2941</v>
      </c>
      <c r="M185" s="76" t="s">
        <v>3055</v>
      </c>
    </row>
    <row r="186" ht="21.0" customHeight="1">
      <c r="A186" s="70">
        <v>172.0</v>
      </c>
      <c r="B186" s="71" t="s">
        <v>43</v>
      </c>
      <c r="C186" s="72" t="s">
        <v>1631</v>
      </c>
      <c r="D186" s="73" t="s">
        <v>1625</v>
      </c>
      <c r="E186" s="71" t="s">
        <v>1617</v>
      </c>
      <c r="F186" s="73"/>
      <c r="G186" s="74" t="s">
        <v>2766</v>
      </c>
      <c r="H186" s="73"/>
      <c r="I186" s="77" t="s">
        <v>2781</v>
      </c>
      <c r="J186" s="74" t="b">
        <v>1</v>
      </c>
      <c r="K186" s="71" t="s">
        <v>1632</v>
      </c>
      <c r="L186" s="71" t="s">
        <v>2941</v>
      </c>
      <c r="M186" s="76" t="s">
        <v>3056</v>
      </c>
    </row>
    <row r="187" ht="21.0" customHeight="1">
      <c r="A187" s="70">
        <v>173.0</v>
      </c>
      <c r="B187" s="71" t="s">
        <v>43</v>
      </c>
      <c r="C187" s="72" t="s">
        <v>1637</v>
      </c>
      <c r="D187" s="73" t="s">
        <v>1639</v>
      </c>
      <c r="E187" s="71" t="s">
        <v>1638</v>
      </c>
      <c r="F187" s="73"/>
      <c r="G187" s="74" t="s">
        <v>2766</v>
      </c>
      <c r="H187" s="73"/>
      <c r="I187" s="77" t="s">
        <v>2781</v>
      </c>
      <c r="J187" s="74" t="b">
        <v>1</v>
      </c>
      <c r="K187" s="71" t="s">
        <v>1640</v>
      </c>
      <c r="L187" s="71" t="s">
        <v>2941</v>
      </c>
      <c r="M187" s="76" t="s">
        <v>3057</v>
      </c>
    </row>
    <row r="188" ht="21.0" customHeight="1">
      <c r="A188" s="70">
        <v>174.0</v>
      </c>
      <c r="B188" s="71" t="s">
        <v>43</v>
      </c>
      <c r="C188" s="72" t="s">
        <v>1645</v>
      </c>
      <c r="D188" s="73" t="s">
        <v>1639</v>
      </c>
      <c r="E188" s="71" t="s">
        <v>1638</v>
      </c>
      <c r="F188" s="73"/>
      <c r="G188" s="74" t="s">
        <v>2766</v>
      </c>
      <c r="H188" s="73"/>
      <c r="I188" s="77" t="s">
        <v>2781</v>
      </c>
      <c r="J188" s="74" t="b">
        <v>1</v>
      </c>
      <c r="K188" s="71" t="s">
        <v>1646</v>
      </c>
      <c r="L188" s="71" t="s">
        <v>2941</v>
      </c>
      <c r="M188" s="76" t="s">
        <v>3058</v>
      </c>
    </row>
    <row r="189" ht="21.0" customHeight="1">
      <c r="A189" s="70">
        <v>175.0</v>
      </c>
      <c r="B189" s="71" t="s">
        <v>43</v>
      </c>
      <c r="C189" s="72" t="s">
        <v>1651</v>
      </c>
      <c r="D189" s="73" t="s">
        <v>1639</v>
      </c>
      <c r="E189" s="71" t="s">
        <v>1638</v>
      </c>
      <c r="F189" s="73"/>
      <c r="G189" s="74" t="s">
        <v>2766</v>
      </c>
      <c r="H189" s="73"/>
      <c r="I189" s="77" t="s">
        <v>2781</v>
      </c>
      <c r="J189" s="74" t="b">
        <v>1</v>
      </c>
      <c r="K189" s="71" t="s">
        <v>1652</v>
      </c>
      <c r="L189" s="71" t="s">
        <v>2941</v>
      </c>
      <c r="M189" s="76" t="s">
        <v>3059</v>
      </c>
    </row>
    <row r="190" ht="21.0" customHeight="1">
      <c r="A190" s="70">
        <v>176.0</v>
      </c>
      <c r="B190" s="71" t="s">
        <v>43</v>
      </c>
      <c r="C190" s="72" t="s">
        <v>1657</v>
      </c>
      <c r="D190" s="73" t="s">
        <v>1639</v>
      </c>
      <c r="E190" s="71" t="s">
        <v>1638</v>
      </c>
      <c r="F190" s="73"/>
      <c r="G190" s="74" t="s">
        <v>2766</v>
      </c>
      <c r="H190" s="73"/>
      <c r="I190" s="77" t="s">
        <v>2781</v>
      </c>
      <c r="J190" s="74" t="b">
        <v>1</v>
      </c>
      <c r="K190" s="71" t="s">
        <v>1658</v>
      </c>
      <c r="L190" s="71" t="s">
        <v>2941</v>
      </c>
      <c r="M190" s="76" t="s">
        <v>3060</v>
      </c>
    </row>
    <row r="191" ht="21.0" customHeight="1">
      <c r="A191" s="70">
        <v>177.0</v>
      </c>
      <c r="B191" s="71" t="s">
        <v>43</v>
      </c>
      <c r="C191" s="72" t="s">
        <v>1677</v>
      </c>
      <c r="D191" s="73" t="s">
        <v>1679</v>
      </c>
      <c r="E191" s="71" t="s">
        <v>1678</v>
      </c>
      <c r="F191" s="73"/>
      <c r="G191" s="74" t="s">
        <v>2766</v>
      </c>
      <c r="H191" s="73"/>
      <c r="I191" s="77" t="s">
        <v>2781</v>
      </c>
      <c r="J191" s="74" t="b">
        <v>1</v>
      </c>
      <c r="K191" s="71" t="s">
        <v>1680</v>
      </c>
      <c r="L191" s="71" t="s">
        <v>2941</v>
      </c>
      <c r="M191" s="76" t="s">
        <v>3061</v>
      </c>
    </row>
    <row r="192" ht="21.0" customHeight="1">
      <c r="A192" s="70">
        <v>178.0</v>
      </c>
      <c r="B192" s="71" t="s">
        <v>43</v>
      </c>
      <c r="C192" s="72" t="s">
        <v>1685</v>
      </c>
      <c r="D192" s="73" t="s">
        <v>1679</v>
      </c>
      <c r="E192" s="71" t="s">
        <v>1678</v>
      </c>
      <c r="F192" s="73"/>
      <c r="G192" s="74" t="s">
        <v>2766</v>
      </c>
      <c r="H192" s="73"/>
      <c r="I192" s="77" t="s">
        <v>2781</v>
      </c>
      <c r="J192" s="74" t="b">
        <v>1</v>
      </c>
      <c r="K192" s="71" t="s">
        <v>1686</v>
      </c>
      <c r="L192" s="71" t="s">
        <v>2941</v>
      </c>
      <c r="M192" s="76" t="s">
        <v>3062</v>
      </c>
    </row>
    <row r="193" ht="21.0" customHeight="1">
      <c r="A193" s="70">
        <v>179.0</v>
      </c>
      <c r="B193" s="71" t="s">
        <v>43</v>
      </c>
      <c r="C193" s="72" t="s">
        <v>1691</v>
      </c>
      <c r="D193" s="73" t="s">
        <v>1679</v>
      </c>
      <c r="E193" s="71" t="s">
        <v>1678</v>
      </c>
      <c r="F193" s="73"/>
      <c r="G193" s="74" t="s">
        <v>2766</v>
      </c>
      <c r="H193" s="73"/>
      <c r="I193" s="77" t="s">
        <v>2781</v>
      </c>
      <c r="J193" s="74" t="b">
        <v>1</v>
      </c>
      <c r="K193" s="71" t="s">
        <v>1692</v>
      </c>
      <c r="L193" s="71" t="s">
        <v>2941</v>
      </c>
      <c r="M193" s="76" t="s">
        <v>3063</v>
      </c>
    </row>
    <row r="194" ht="21.0" customHeight="1">
      <c r="A194" s="70">
        <v>180.0</v>
      </c>
      <c r="B194" s="71" t="s">
        <v>43</v>
      </c>
      <c r="C194" s="72" t="s">
        <v>1704</v>
      </c>
      <c r="D194" s="73" t="s">
        <v>1706</v>
      </c>
      <c r="E194" s="71" t="s">
        <v>1705</v>
      </c>
      <c r="F194" s="73"/>
      <c r="G194" s="74" t="s">
        <v>2766</v>
      </c>
      <c r="H194" s="73"/>
      <c r="I194" s="77" t="s">
        <v>2781</v>
      </c>
      <c r="J194" s="74" t="b">
        <v>1</v>
      </c>
      <c r="K194" s="71" t="s">
        <v>1707</v>
      </c>
      <c r="L194" s="71" t="s">
        <v>2941</v>
      </c>
      <c r="M194" s="76" t="s">
        <v>3064</v>
      </c>
    </row>
    <row r="195" ht="21.0" customHeight="1">
      <c r="A195" s="70">
        <v>181.0</v>
      </c>
      <c r="B195" s="71" t="s">
        <v>43</v>
      </c>
      <c r="C195" s="72" t="s">
        <v>1712</v>
      </c>
      <c r="D195" s="73" t="s">
        <v>1713</v>
      </c>
      <c r="E195" s="71" t="s">
        <v>1705</v>
      </c>
      <c r="F195" s="73"/>
      <c r="G195" s="74" t="s">
        <v>2766</v>
      </c>
      <c r="H195" s="73"/>
      <c r="I195" s="77" t="s">
        <v>2781</v>
      </c>
      <c r="J195" s="74" t="b">
        <v>1</v>
      </c>
      <c r="K195" s="71" t="s">
        <v>1714</v>
      </c>
      <c r="L195" s="71" t="s">
        <v>2941</v>
      </c>
      <c r="M195" s="76" t="s">
        <v>3065</v>
      </c>
    </row>
    <row r="196" ht="21.0" customHeight="1">
      <c r="A196" s="70">
        <v>182.0</v>
      </c>
      <c r="B196" s="71" t="s">
        <v>43</v>
      </c>
      <c r="C196" s="72" t="s">
        <v>1719</v>
      </c>
      <c r="D196" s="73" t="s">
        <v>1721</v>
      </c>
      <c r="E196" s="71" t="s">
        <v>1720</v>
      </c>
      <c r="F196" s="73"/>
      <c r="G196" s="74" t="s">
        <v>2766</v>
      </c>
      <c r="H196" s="73"/>
      <c r="I196" s="77" t="s">
        <v>2781</v>
      </c>
      <c r="J196" s="74" t="b">
        <v>1</v>
      </c>
      <c r="K196" s="71" t="s">
        <v>1722</v>
      </c>
      <c r="L196" s="71" t="s">
        <v>2941</v>
      </c>
      <c r="M196" s="76" t="s">
        <v>3066</v>
      </c>
    </row>
    <row r="197" ht="21.0" customHeight="1">
      <c r="A197" s="70">
        <v>183.0</v>
      </c>
      <c r="B197" s="71" t="s">
        <v>43</v>
      </c>
      <c r="C197" s="72" t="s">
        <v>1727</v>
      </c>
      <c r="D197" s="73" t="s">
        <v>1728</v>
      </c>
      <c r="E197" s="71" t="s">
        <v>1720</v>
      </c>
      <c r="F197" s="73"/>
      <c r="G197" s="74" t="s">
        <v>2766</v>
      </c>
      <c r="H197" s="73"/>
      <c r="I197" s="77" t="s">
        <v>2781</v>
      </c>
      <c r="J197" s="74" t="b">
        <v>1</v>
      </c>
      <c r="K197" s="71" t="s">
        <v>1729</v>
      </c>
      <c r="L197" s="71" t="s">
        <v>2941</v>
      </c>
      <c r="M197" s="76" t="s">
        <v>3067</v>
      </c>
    </row>
    <row r="198" ht="21.0" customHeight="1">
      <c r="A198" s="70">
        <v>184.0</v>
      </c>
      <c r="B198" s="71" t="s">
        <v>43</v>
      </c>
      <c r="C198" s="72" t="s">
        <v>1734</v>
      </c>
      <c r="D198" s="73" t="s">
        <v>1736</v>
      </c>
      <c r="E198" s="71" t="s">
        <v>1735</v>
      </c>
      <c r="F198" s="73"/>
      <c r="G198" s="74" t="s">
        <v>2766</v>
      </c>
      <c r="H198" s="73"/>
      <c r="I198" s="77" t="s">
        <v>2781</v>
      </c>
      <c r="J198" s="74" t="b">
        <v>1</v>
      </c>
      <c r="K198" s="71" t="s">
        <v>1737</v>
      </c>
      <c r="L198" s="71" t="s">
        <v>2941</v>
      </c>
      <c r="M198" s="76" t="s">
        <v>3068</v>
      </c>
    </row>
    <row r="199" ht="21.0" customHeight="1">
      <c r="A199" s="70">
        <v>185.0</v>
      </c>
      <c r="B199" s="71" t="s">
        <v>43</v>
      </c>
      <c r="C199" s="72" t="s">
        <v>1742</v>
      </c>
      <c r="D199" s="73" t="s">
        <v>1736</v>
      </c>
      <c r="E199" s="71" t="s">
        <v>1735</v>
      </c>
      <c r="F199" s="73"/>
      <c r="G199" s="74" t="s">
        <v>2766</v>
      </c>
      <c r="H199" s="73"/>
      <c r="I199" s="77" t="s">
        <v>2781</v>
      </c>
      <c r="J199" s="74" t="b">
        <v>1</v>
      </c>
      <c r="K199" s="71" t="s">
        <v>1743</v>
      </c>
      <c r="L199" s="71" t="s">
        <v>2941</v>
      </c>
      <c r="M199" s="76" t="s">
        <v>3069</v>
      </c>
    </row>
    <row r="200" ht="21.0" customHeight="1">
      <c r="A200" s="70">
        <v>186.0</v>
      </c>
      <c r="B200" s="71" t="s">
        <v>43</v>
      </c>
      <c r="C200" s="72" t="s">
        <v>1748</v>
      </c>
      <c r="D200" s="73" t="s">
        <v>1749</v>
      </c>
      <c r="E200" s="71" t="s">
        <v>1735</v>
      </c>
      <c r="F200" s="73"/>
      <c r="G200" s="74" t="s">
        <v>2766</v>
      </c>
      <c r="H200" s="73"/>
      <c r="I200" s="77" t="s">
        <v>2781</v>
      </c>
      <c r="J200" s="74" t="b">
        <v>1</v>
      </c>
      <c r="K200" s="71" t="s">
        <v>1750</v>
      </c>
      <c r="L200" s="71" t="s">
        <v>2941</v>
      </c>
      <c r="M200" s="76" t="s">
        <v>3070</v>
      </c>
    </row>
    <row r="201" ht="21.0" customHeight="1">
      <c r="A201" s="70">
        <v>187.0</v>
      </c>
      <c r="B201" s="71" t="s">
        <v>43</v>
      </c>
      <c r="C201" s="72" t="s">
        <v>1755</v>
      </c>
      <c r="D201" s="73" t="s">
        <v>1757</v>
      </c>
      <c r="E201" s="71" t="s">
        <v>1756</v>
      </c>
      <c r="F201" s="73"/>
      <c r="G201" s="74" t="s">
        <v>2766</v>
      </c>
      <c r="H201" s="73"/>
      <c r="I201" s="77" t="s">
        <v>2781</v>
      </c>
      <c r="J201" s="74" t="b">
        <v>1</v>
      </c>
      <c r="K201" s="71" t="s">
        <v>1758</v>
      </c>
      <c r="L201" s="71" t="s">
        <v>2941</v>
      </c>
      <c r="M201" s="76" t="s">
        <v>3071</v>
      </c>
    </row>
    <row r="202" ht="21.0" customHeight="1">
      <c r="A202" s="70">
        <v>188.0</v>
      </c>
      <c r="B202" s="71" t="s">
        <v>43</v>
      </c>
      <c r="C202" s="72" t="s">
        <v>1763</v>
      </c>
      <c r="D202" s="73" t="s">
        <v>1757</v>
      </c>
      <c r="E202" s="71" t="s">
        <v>1756</v>
      </c>
      <c r="F202" s="73"/>
      <c r="G202" s="74" t="s">
        <v>2766</v>
      </c>
      <c r="H202" s="73"/>
      <c r="I202" s="77" t="s">
        <v>2781</v>
      </c>
      <c r="J202" s="74" t="b">
        <v>1</v>
      </c>
      <c r="K202" s="71" t="s">
        <v>1764</v>
      </c>
      <c r="L202" s="71" t="s">
        <v>2941</v>
      </c>
      <c r="M202" s="76" t="s">
        <v>3072</v>
      </c>
    </row>
    <row r="203" ht="21.0" customHeight="1">
      <c r="A203" s="70">
        <v>189.0</v>
      </c>
      <c r="B203" s="71" t="s">
        <v>43</v>
      </c>
      <c r="C203" s="72" t="s">
        <v>1769</v>
      </c>
      <c r="D203" s="73" t="s">
        <v>1770</v>
      </c>
      <c r="E203" s="71" t="s">
        <v>1756</v>
      </c>
      <c r="F203" s="73"/>
      <c r="G203" s="74" t="s">
        <v>2766</v>
      </c>
      <c r="H203" s="73"/>
      <c r="I203" s="77" t="s">
        <v>2781</v>
      </c>
      <c r="J203" s="74" t="b">
        <v>1</v>
      </c>
      <c r="K203" s="71" t="s">
        <v>1771</v>
      </c>
      <c r="L203" s="71" t="s">
        <v>2941</v>
      </c>
      <c r="M203" s="76" t="s">
        <v>3073</v>
      </c>
    </row>
    <row r="204" ht="21.0" customHeight="1">
      <c r="A204" s="70">
        <v>190.0</v>
      </c>
      <c r="B204" s="71" t="s">
        <v>43</v>
      </c>
      <c r="C204" s="72" t="s">
        <v>1776</v>
      </c>
      <c r="D204" s="73" t="s">
        <v>1770</v>
      </c>
      <c r="E204" s="71" t="s">
        <v>1756</v>
      </c>
      <c r="F204" s="73"/>
      <c r="G204" s="74" t="s">
        <v>2766</v>
      </c>
      <c r="H204" s="73"/>
      <c r="I204" s="77" t="s">
        <v>2781</v>
      </c>
      <c r="J204" s="74" t="b">
        <v>1</v>
      </c>
      <c r="K204" s="71" t="s">
        <v>1777</v>
      </c>
      <c r="L204" s="71" t="s">
        <v>2941</v>
      </c>
      <c r="M204" s="76" t="s">
        <v>3074</v>
      </c>
    </row>
    <row r="205" ht="21.0" customHeight="1">
      <c r="A205" s="70">
        <v>191.0</v>
      </c>
      <c r="B205" s="71" t="s">
        <v>43</v>
      </c>
      <c r="C205" s="72" t="s">
        <v>1811</v>
      </c>
      <c r="D205" s="73" t="s">
        <v>1813</v>
      </c>
      <c r="E205" s="71" t="s">
        <v>1812</v>
      </c>
      <c r="F205" s="73"/>
      <c r="G205" s="74" t="s">
        <v>2766</v>
      </c>
      <c r="H205" s="73"/>
      <c r="I205" s="77" t="s">
        <v>2781</v>
      </c>
      <c r="J205" s="74" t="b">
        <v>1</v>
      </c>
      <c r="K205" s="71" t="s">
        <v>1814</v>
      </c>
      <c r="L205" s="71" t="s">
        <v>2941</v>
      </c>
      <c r="M205" s="76" t="s">
        <v>3075</v>
      </c>
    </row>
    <row r="206" ht="21.0" customHeight="1">
      <c r="A206" s="70">
        <v>192.0</v>
      </c>
      <c r="B206" s="71" t="s">
        <v>43</v>
      </c>
      <c r="C206" s="72" t="s">
        <v>1819</v>
      </c>
      <c r="D206" s="73" t="s">
        <v>1820</v>
      </c>
      <c r="E206" s="71" t="s">
        <v>1812</v>
      </c>
      <c r="F206" s="73"/>
      <c r="G206" s="74" t="s">
        <v>2766</v>
      </c>
      <c r="H206" s="73"/>
      <c r="I206" s="77" t="s">
        <v>2781</v>
      </c>
      <c r="J206" s="74" t="b">
        <v>1</v>
      </c>
      <c r="K206" s="71" t="s">
        <v>1821</v>
      </c>
      <c r="L206" s="71" t="s">
        <v>2941</v>
      </c>
      <c r="M206" s="76" t="s">
        <v>3076</v>
      </c>
    </row>
    <row r="207" ht="21.0" customHeight="1">
      <c r="A207" s="70">
        <v>193.0</v>
      </c>
      <c r="B207" s="71" t="s">
        <v>43</v>
      </c>
      <c r="C207" s="72" t="s">
        <v>1826</v>
      </c>
      <c r="D207" s="73" t="s">
        <v>1827</v>
      </c>
      <c r="E207" s="71" t="s">
        <v>1812</v>
      </c>
      <c r="F207" s="73"/>
      <c r="G207" s="74" t="s">
        <v>2766</v>
      </c>
      <c r="H207" s="73"/>
      <c r="I207" s="77" t="s">
        <v>2781</v>
      </c>
      <c r="J207" s="74" t="b">
        <v>1</v>
      </c>
      <c r="K207" s="71" t="s">
        <v>1828</v>
      </c>
      <c r="L207" s="71" t="s">
        <v>2941</v>
      </c>
      <c r="M207" s="76" t="s">
        <v>3077</v>
      </c>
    </row>
    <row r="208" ht="21.0" customHeight="1">
      <c r="A208" s="70">
        <v>194.0</v>
      </c>
      <c r="B208" s="71" t="s">
        <v>43</v>
      </c>
      <c r="C208" s="72" t="s">
        <v>1861</v>
      </c>
      <c r="D208" s="73" t="s">
        <v>1863</v>
      </c>
      <c r="E208" s="71" t="s">
        <v>1862</v>
      </c>
      <c r="F208" s="73"/>
      <c r="G208" s="74" t="s">
        <v>2766</v>
      </c>
      <c r="H208" s="73"/>
      <c r="I208" s="77" t="s">
        <v>2781</v>
      </c>
      <c r="J208" s="74" t="b">
        <v>1</v>
      </c>
      <c r="K208" s="71" t="s">
        <v>1864</v>
      </c>
      <c r="L208" s="71" t="s">
        <v>2941</v>
      </c>
      <c r="M208" s="76" t="s">
        <v>3078</v>
      </c>
    </row>
    <row r="209" ht="21.0" customHeight="1">
      <c r="A209" s="70">
        <v>195.0</v>
      </c>
      <c r="B209" s="71" t="s">
        <v>43</v>
      </c>
      <c r="C209" s="72" t="s">
        <v>1869</v>
      </c>
      <c r="D209" s="73" t="s">
        <v>1870</v>
      </c>
      <c r="E209" s="71" t="s">
        <v>1862</v>
      </c>
      <c r="F209" s="73"/>
      <c r="G209" s="74" t="s">
        <v>2766</v>
      </c>
      <c r="H209" s="73"/>
      <c r="I209" s="77" t="s">
        <v>2781</v>
      </c>
      <c r="J209" s="74" t="b">
        <v>1</v>
      </c>
      <c r="K209" s="71" t="s">
        <v>1871</v>
      </c>
      <c r="L209" s="71" t="s">
        <v>2941</v>
      </c>
      <c r="M209" s="76" t="s">
        <v>3079</v>
      </c>
    </row>
    <row r="210" ht="21.0" customHeight="1">
      <c r="A210" s="70">
        <v>196.0</v>
      </c>
      <c r="B210" s="71" t="s">
        <v>43</v>
      </c>
      <c r="C210" s="72" t="s">
        <v>1876</v>
      </c>
      <c r="D210" s="73" t="s">
        <v>1877</v>
      </c>
      <c r="E210" s="71" t="s">
        <v>1862</v>
      </c>
      <c r="F210" s="73"/>
      <c r="G210" s="74" t="s">
        <v>2766</v>
      </c>
      <c r="H210" s="73"/>
      <c r="I210" s="77" t="s">
        <v>2781</v>
      </c>
      <c r="J210" s="74" t="b">
        <v>1</v>
      </c>
      <c r="K210" s="71" t="s">
        <v>1878</v>
      </c>
      <c r="L210" s="71" t="s">
        <v>2941</v>
      </c>
      <c r="M210" s="76" t="s">
        <v>3080</v>
      </c>
    </row>
    <row r="211" ht="21.0" customHeight="1">
      <c r="A211" s="70">
        <v>197.0</v>
      </c>
      <c r="B211" s="71" t="s">
        <v>43</v>
      </c>
      <c r="C211" s="72" t="s">
        <v>1883</v>
      </c>
      <c r="D211" s="73" t="s">
        <v>1884</v>
      </c>
      <c r="E211" s="71" t="s">
        <v>1862</v>
      </c>
      <c r="F211" s="73"/>
      <c r="G211" s="74" t="s">
        <v>2766</v>
      </c>
      <c r="H211" s="73"/>
      <c r="I211" s="77" t="s">
        <v>2781</v>
      </c>
      <c r="J211" s="74" t="b">
        <v>1</v>
      </c>
      <c r="K211" s="71" t="s">
        <v>1885</v>
      </c>
      <c r="L211" s="71" t="s">
        <v>2941</v>
      </c>
      <c r="M211" s="76" t="s">
        <v>3081</v>
      </c>
    </row>
    <row r="212" ht="21.0" customHeight="1">
      <c r="A212" s="70">
        <v>198.0</v>
      </c>
      <c r="B212" s="71" t="s">
        <v>43</v>
      </c>
      <c r="C212" s="72" t="s">
        <v>1890</v>
      </c>
      <c r="D212" s="73" t="s">
        <v>1891</v>
      </c>
      <c r="E212" s="71" t="s">
        <v>1862</v>
      </c>
      <c r="F212" s="73"/>
      <c r="G212" s="74" t="s">
        <v>2766</v>
      </c>
      <c r="H212" s="73"/>
      <c r="I212" s="77" t="s">
        <v>2781</v>
      </c>
      <c r="J212" s="74" t="b">
        <v>1</v>
      </c>
      <c r="K212" s="71" t="s">
        <v>1892</v>
      </c>
      <c r="L212" s="71" t="s">
        <v>2941</v>
      </c>
      <c r="M212" s="76" t="s">
        <v>3082</v>
      </c>
    </row>
    <row r="213" ht="21.0" customHeight="1">
      <c r="A213" s="70">
        <v>199.0</v>
      </c>
      <c r="B213" s="71" t="s">
        <v>43</v>
      </c>
      <c r="C213" s="72" t="s">
        <v>1946</v>
      </c>
      <c r="D213" s="73" t="s">
        <v>1948</v>
      </c>
      <c r="E213" s="71" t="s">
        <v>1947</v>
      </c>
      <c r="F213" s="73"/>
      <c r="G213" s="74" t="s">
        <v>2766</v>
      </c>
      <c r="H213" s="73"/>
      <c r="I213" s="77" t="s">
        <v>2781</v>
      </c>
      <c r="J213" s="74" t="b">
        <v>1</v>
      </c>
      <c r="K213" s="71" t="s">
        <v>1949</v>
      </c>
      <c r="L213" s="71" t="s">
        <v>2941</v>
      </c>
      <c r="M213" s="76" t="s">
        <v>3083</v>
      </c>
    </row>
    <row r="214" ht="21.0" customHeight="1">
      <c r="A214" s="70">
        <v>200.0</v>
      </c>
      <c r="B214" s="71" t="s">
        <v>43</v>
      </c>
      <c r="C214" s="72" t="s">
        <v>1954</v>
      </c>
      <c r="D214" s="73" t="s">
        <v>1948</v>
      </c>
      <c r="E214" s="71" t="s">
        <v>1947</v>
      </c>
      <c r="F214" s="73"/>
      <c r="G214" s="74" t="s">
        <v>2766</v>
      </c>
      <c r="H214" s="73"/>
      <c r="I214" s="77" t="s">
        <v>2781</v>
      </c>
      <c r="J214" s="74" t="b">
        <v>1</v>
      </c>
      <c r="K214" s="71" t="s">
        <v>1955</v>
      </c>
      <c r="L214" s="71" t="s">
        <v>2941</v>
      </c>
      <c r="M214" s="76" t="s">
        <v>3084</v>
      </c>
    </row>
    <row r="215" ht="21.0" customHeight="1">
      <c r="A215" s="70">
        <v>201.0</v>
      </c>
      <c r="B215" s="71" t="s">
        <v>43</v>
      </c>
      <c r="C215" s="72" t="s">
        <v>1959</v>
      </c>
      <c r="D215" s="73" t="s">
        <v>1948</v>
      </c>
      <c r="E215" s="71" t="s">
        <v>1947</v>
      </c>
      <c r="F215" s="73"/>
      <c r="G215" s="74" t="s">
        <v>2766</v>
      </c>
      <c r="H215" s="73"/>
      <c r="I215" s="77" t="s">
        <v>2781</v>
      </c>
      <c r="J215" s="74" t="b">
        <v>1</v>
      </c>
      <c r="K215" s="71" t="s">
        <v>1960</v>
      </c>
      <c r="L215" s="71" t="s">
        <v>2941</v>
      </c>
      <c r="M215" s="76" t="s">
        <v>3085</v>
      </c>
    </row>
    <row r="216" ht="21.0" customHeight="1">
      <c r="A216" s="70">
        <v>202.0</v>
      </c>
      <c r="B216" s="71" t="s">
        <v>43</v>
      </c>
      <c r="C216" s="72" t="s">
        <v>1978</v>
      </c>
      <c r="D216" s="73" t="s">
        <v>1980</v>
      </c>
      <c r="E216" s="71" t="s">
        <v>1979</v>
      </c>
      <c r="F216" s="73"/>
      <c r="G216" s="74" t="s">
        <v>2766</v>
      </c>
      <c r="H216" s="73"/>
      <c r="I216" s="77" t="s">
        <v>2781</v>
      </c>
      <c r="J216" s="74" t="b">
        <v>1</v>
      </c>
      <c r="K216" s="71" t="s">
        <v>1981</v>
      </c>
      <c r="L216" s="71" t="s">
        <v>2941</v>
      </c>
      <c r="M216" s="76" t="s">
        <v>3086</v>
      </c>
    </row>
    <row r="217" ht="21.0" customHeight="1">
      <c r="A217" s="70">
        <v>203.0</v>
      </c>
      <c r="B217" s="71" t="s">
        <v>43</v>
      </c>
      <c r="C217" s="72" t="s">
        <v>1986</v>
      </c>
      <c r="D217" s="73" t="s">
        <v>1987</v>
      </c>
      <c r="E217" s="71" t="s">
        <v>1979</v>
      </c>
      <c r="F217" s="73"/>
      <c r="G217" s="74" t="s">
        <v>2766</v>
      </c>
      <c r="H217" s="73"/>
      <c r="I217" s="77" t="s">
        <v>2781</v>
      </c>
      <c r="J217" s="74" t="b">
        <v>1</v>
      </c>
      <c r="K217" s="71" t="s">
        <v>1988</v>
      </c>
      <c r="L217" s="71" t="s">
        <v>2941</v>
      </c>
      <c r="M217" s="76" t="s">
        <v>3087</v>
      </c>
    </row>
    <row r="218" ht="21.0" customHeight="1">
      <c r="A218" s="70">
        <v>204.0</v>
      </c>
      <c r="B218" s="71" t="s">
        <v>43</v>
      </c>
      <c r="C218" s="72" t="s">
        <v>1993</v>
      </c>
      <c r="D218" s="73" t="s">
        <v>1994</v>
      </c>
      <c r="E218" s="71" t="s">
        <v>1979</v>
      </c>
      <c r="F218" s="73"/>
      <c r="G218" s="74" t="s">
        <v>2766</v>
      </c>
      <c r="H218" s="73"/>
      <c r="I218" s="77" t="s">
        <v>2781</v>
      </c>
      <c r="J218" s="74" t="b">
        <v>1</v>
      </c>
      <c r="K218" s="71" t="s">
        <v>1995</v>
      </c>
      <c r="L218" s="71" t="s">
        <v>2941</v>
      </c>
      <c r="M218" s="76" t="s">
        <v>3088</v>
      </c>
    </row>
    <row r="219" ht="21.0" customHeight="1">
      <c r="A219" s="70">
        <v>205.0</v>
      </c>
      <c r="B219" s="71" t="s">
        <v>43</v>
      </c>
      <c r="C219" s="72" t="s">
        <v>2000</v>
      </c>
      <c r="D219" s="73" t="s">
        <v>2001</v>
      </c>
      <c r="E219" s="71" t="s">
        <v>1979</v>
      </c>
      <c r="F219" s="73"/>
      <c r="G219" s="74" t="s">
        <v>2766</v>
      </c>
      <c r="H219" s="73"/>
      <c r="I219" s="77" t="s">
        <v>2781</v>
      </c>
      <c r="J219" s="74" t="b">
        <v>1</v>
      </c>
      <c r="K219" s="71" t="s">
        <v>2002</v>
      </c>
      <c r="L219" s="71" t="s">
        <v>2941</v>
      </c>
      <c r="M219" s="76" t="s">
        <v>3089</v>
      </c>
    </row>
    <row r="220" ht="21.0" customHeight="1">
      <c r="A220" s="70">
        <v>206.0</v>
      </c>
      <c r="B220" s="71" t="s">
        <v>43</v>
      </c>
      <c r="C220" s="72" t="s">
        <v>2007</v>
      </c>
      <c r="D220" s="73" t="s">
        <v>2008</v>
      </c>
      <c r="E220" s="71" t="s">
        <v>1979</v>
      </c>
      <c r="F220" s="73"/>
      <c r="G220" s="74" t="s">
        <v>2766</v>
      </c>
      <c r="H220" s="73"/>
      <c r="I220" s="77" t="s">
        <v>2781</v>
      </c>
      <c r="J220" s="74" t="b">
        <v>1</v>
      </c>
      <c r="K220" s="71" t="s">
        <v>2009</v>
      </c>
      <c r="L220" s="71" t="s">
        <v>2941</v>
      </c>
      <c r="M220" s="76" t="s">
        <v>3090</v>
      </c>
    </row>
    <row r="221" ht="21.0" customHeight="1">
      <c r="A221" s="70">
        <v>207.0</v>
      </c>
      <c r="B221" s="71" t="s">
        <v>43</v>
      </c>
      <c r="C221" s="72" t="s">
        <v>2014</v>
      </c>
      <c r="D221" s="73" t="s">
        <v>2015</v>
      </c>
      <c r="E221" s="71" t="s">
        <v>1979</v>
      </c>
      <c r="F221" s="73"/>
      <c r="G221" s="74" t="s">
        <v>2766</v>
      </c>
      <c r="H221" s="73"/>
      <c r="I221" s="77" t="s">
        <v>2781</v>
      </c>
      <c r="J221" s="74" t="b">
        <v>1</v>
      </c>
      <c r="K221" s="71" t="s">
        <v>2016</v>
      </c>
      <c r="L221" s="71" t="s">
        <v>2941</v>
      </c>
      <c r="M221" s="76" t="s">
        <v>3091</v>
      </c>
    </row>
    <row r="222" ht="21.0" customHeight="1">
      <c r="A222" s="70">
        <v>208.0</v>
      </c>
      <c r="B222" s="71" t="s">
        <v>43</v>
      </c>
      <c r="C222" s="72" t="s">
        <v>2021</v>
      </c>
      <c r="D222" s="73" t="s">
        <v>2022</v>
      </c>
      <c r="E222" s="71" t="s">
        <v>1979</v>
      </c>
      <c r="F222" s="73"/>
      <c r="G222" s="74" t="s">
        <v>2766</v>
      </c>
      <c r="H222" s="73"/>
      <c r="I222" s="77" t="s">
        <v>2781</v>
      </c>
      <c r="J222" s="74" t="b">
        <v>1</v>
      </c>
      <c r="K222" s="71" t="s">
        <v>2023</v>
      </c>
      <c r="L222" s="71" t="s">
        <v>2941</v>
      </c>
      <c r="M222" s="76" t="s">
        <v>3092</v>
      </c>
    </row>
    <row r="223" ht="21.0" customHeight="1">
      <c r="A223" s="70">
        <v>209.0</v>
      </c>
      <c r="B223" s="71" t="s">
        <v>43</v>
      </c>
      <c r="C223" s="72" t="s">
        <v>2028</v>
      </c>
      <c r="D223" s="73" t="s">
        <v>2029</v>
      </c>
      <c r="E223" s="71" t="s">
        <v>1979</v>
      </c>
      <c r="F223" s="73"/>
      <c r="G223" s="74" t="s">
        <v>2766</v>
      </c>
      <c r="H223" s="73"/>
      <c r="I223" s="77" t="s">
        <v>2781</v>
      </c>
      <c r="J223" s="74" t="b">
        <v>1</v>
      </c>
      <c r="K223" s="71" t="s">
        <v>2030</v>
      </c>
      <c r="L223" s="71" t="s">
        <v>2941</v>
      </c>
      <c r="M223" s="76" t="s">
        <v>3093</v>
      </c>
    </row>
    <row r="224" ht="21.0" customHeight="1">
      <c r="A224" s="70">
        <v>210.0</v>
      </c>
      <c r="B224" s="71" t="s">
        <v>43</v>
      </c>
      <c r="C224" s="72" t="s">
        <v>2035</v>
      </c>
      <c r="D224" s="73" t="s">
        <v>2036</v>
      </c>
      <c r="E224" s="71" t="s">
        <v>1979</v>
      </c>
      <c r="F224" s="73"/>
      <c r="G224" s="74" t="s">
        <v>2766</v>
      </c>
      <c r="H224" s="73"/>
      <c r="I224" s="77" t="s">
        <v>2781</v>
      </c>
      <c r="J224" s="74" t="b">
        <v>1</v>
      </c>
      <c r="K224" s="71" t="s">
        <v>2037</v>
      </c>
      <c r="L224" s="71" t="s">
        <v>2941</v>
      </c>
      <c r="M224" s="76" t="s">
        <v>3094</v>
      </c>
    </row>
    <row r="225" ht="21.0" customHeight="1">
      <c r="A225" s="70">
        <v>211.0</v>
      </c>
      <c r="B225" s="71" t="s">
        <v>43</v>
      </c>
      <c r="C225" s="72" t="s">
        <v>2042</v>
      </c>
      <c r="D225" s="73" t="s">
        <v>2043</v>
      </c>
      <c r="E225" s="71" t="s">
        <v>1979</v>
      </c>
      <c r="F225" s="73"/>
      <c r="G225" s="74" t="s">
        <v>2766</v>
      </c>
      <c r="H225" s="73"/>
      <c r="I225" s="77" t="s">
        <v>2781</v>
      </c>
      <c r="J225" s="74" t="b">
        <v>1</v>
      </c>
      <c r="K225" s="71" t="s">
        <v>2044</v>
      </c>
      <c r="L225" s="71" t="s">
        <v>2941</v>
      </c>
      <c r="M225" s="76" t="s">
        <v>3095</v>
      </c>
    </row>
    <row r="226" ht="21.0" customHeight="1">
      <c r="A226" s="70">
        <v>212.0</v>
      </c>
      <c r="B226" s="71" t="s">
        <v>43</v>
      </c>
      <c r="C226" s="72" t="s">
        <v>2049</v>
      </c>
      <c r="D226" s="73" t="s">
        <v>2050</v>
      </c>
      <c r="E226" s="71" t="s">
        <v>1979</v>
      </c>
      <c r="F226" s="73"/>
      <c r="G226" s="74" t="s">
        <v>2766</v>
      </c>
      <c r="H226" s="73"/>
      <c r="I226" s="77" t="s">
        <v>2781</v>
      </c>
      <c r="J226" s="74" t="b">
        <v>1</v>
      </c>
      <c r="K226" s="71" t="s">
        <v>2051</v>
      </c>
      <c r="L226" s="71" t="s">
        <v>2941</v>
      </c>
      <c r="M226" s="76" t="s">
        <v>3096</v>
      </c>
    </row>
    <row r="227" ht="21.0" customHeight="1">
      <c r="A227" s="70">
        <v>213.0</v>
      </c>
      <c r="B227" s="71" t="s">
        <v>43</v>
      </c>
      <c r="C227" s="72" t="s">
        <v>2056</v>
      </c>
      <c r="D227" s="73" t="s">
        <v>2057</v>
      </c>
      <c r="E227" s="71" t="s">
        <v>1979</v>
      </c>
      <c r="F227" s="73"/>
      <c r="G227" s="74" t="s">
        <v>2766</v>
      </c>
      <c r="H227" s="73"/>
      <c r="I227" s="77" t="s">
        <v>2781</v>
      </c>
      <c r="J227" s="74" t="b">
        <v>1</v>
      </c>
      <c r="K227" s="71" t="s">
        <v>2058</v>
      </c>
      <c r="L227" s="71" t="s">
        <v>2941</v>
      </c>
      <c r="M227" s="76" t="s">
        <v>3097</v>
      </c>
    </row>
    <row r="228" ht="21.0" customHeight="1">
      <c r="A228" s="70">
        <v>214.0</v>
      </c>
      <c r="B228" s="71" t="s">
        <v>43</v>
      </c>
      <c r="C228" s="72" t="s">
        <v>2063</v>
      </c>
      <c r="D228" s="73" t="s">
        <v>2064</v>
      </c>
      <c r="E228" s="71" t="s">
        <v>1979</v>
      </c>
      <c r="F228" s="73"/>
      <c r="G228" s="74" t="s">
        <v>2766</v>
      </c>
      <c r="H228" s="73"/>
      <c r="I228" s="77" t="s">
        <v>2781</v>
      </c>
      <c r="J228" s="74" t="b">
        <v>1</v>
      </c>
      <c r="K228" s="71" t="s">
        <v>2065</v>
      </c>
      <c r="L228" s="71" t="s">
        <v>2941</v>
      </c>
      <c r="M228" s="76" t="s">
        <v>3098</v>
      </c>
    </row>
    <row r="229" ht="21.0" customHeight="1">
      <c r="A229" s="70">
        <v>215.0</v>
      </c>
      <c r="B229" s="71" t="s">
        <v>43</v>
      </c>
      <c r="C229" s="72" t="s">
        <v>2070</v>
      </c>
      <c r="D229" s="73" t="s">
        <v>2072</v>
      </c>
      <c r="E229" s="71" t="s">
        <v>2071</v>
      </c>
      <c r="F229" s="73"/>
      <c r="G229" s="74" t="s">
        <v>2766</v>
      </c>
      <c r="H229" s="73"/>
      <c r="I229" s="77" t="s">
        <v>2781</v>
      </c>
      <c r="J229" s="74" t="b">
        <v>1</v>
      </c>
      <c r="K229" s="71" t="s">
        <v>2073</v>
      </c>
      <c r="L229" s="71" t="s">
        <v>2941</v>
      </c>
      <c r="M229" s="76" t="s">
        <v>3099</v>
      </c>
    </row>
    <row r="230" ht="21.0" customHeight="1">
      <c r="A230" s="70">
        <v>216.0</v>
      </c>
      <c r="B230" s="71" t="s">
        <v>43</v>
      </c>
      <c r="C230" s="72" t="s">
        <v>2079</v>
      </c>
      <c r="D230" s="73" t="s">
        <v>2080</v>
      </c>
      <c r="E230" s="71" t="s">
        <v>2071</v>
      </c>
      <c r="F230" s="73"/>
      <c r="G230" s="74" t="s">
        <v>2766</v>
      </c>
      <c r="H230" s="73"/>
      <c r="I230" s="77" t="s">
        <v>2781</v>
      </c>
      <c r="J230" s="74" t="b">
        <v>1</v>
      </c>
      <c r="K230" s="71" t="s">
        <v>2081</v>
      </c>
      <c r="L230" s="71" t="s">
        <v>2941</v>
      </c>
      <c r="M230" s="76" t="s">
        <v>3100</v>
      </c>
    </row>
    <row r="231" ht="21.0" customHeight="1">
      <c r="A231" s="70">
        <v>217.0</v>
      </c>
      <c r="B231" s="71" t="s">
        <v>43</v>
      </c>
      <c r="C231" s="72" t="s">
        <v>2086</v>
      </c>
      <c r="D231" s="73" t="s">
        <v>2087</v>
      </c>
      <c r="E231" s="71" t="s">
        <v>2071</v>
      </c>
      <c r="F231" s="73"/>
      <c r="G231" s="74" t="s">
        <v>2766</v>
      </c>
      <c r="H231" s="73"/>
      <c r="I231" s="77" t="s">
        <v>2781</v>
      </c>
      <c r="J231" s="74" t="b">
        <v>1</v>
      </c>
      <c r="K231" s="71" t="s">
        <v>2088</v>
      </c>
      <c r="L231" s="71" t="s">
        <v>2941</v>
      </c>
      <c r="M231" s="76" t="s">
        <v>3101</v>
      </c>
    </row>
    <row r="232" ht="21.0" customHeight="1">
      <c r="A232" s="70">
        <v>218.0</v>
      </c>
      <c r="B232" s="71" t="s">
        <v>43</v>
      </c>
      <c r="C232" s="72" t="s">
        <v>2093</v>
      </c>
      <c r="D232" s="73" t="s">
        <v>2094</v>
      </c>
      <c r="E232" s="71" t="s">
        <v>2071</v>
      </c>
      <c r="F232" s="73"/>
      <c r="G232" s="74" t="s">
        <v>2766</v>
      </c>
      <c r="H232" s="73"/>
      <c r="I232" s="77" t="s">
        <v>2781</v>
      </c>
      <c r="J232" s="74" t="b">
        <v>1</v>
      </c>
      <c r="K232" s="71" t="s">
        <v>2095</v>
      </c>
      <c r="L232" s="71" t="s">
        <v>2941</v>
      </c>
      <c r="M232" s="76" t="s">
        <v>3102</v>
      </c>
    </row>
    <row r="233" ht="21.0" customHeight="1">
      <c r="A233" s="70">
        <v>219.0</v>
      </c>
      <c r="B233" s="71" t="s">
        <v>43</v>
      </c>
      <c r="C233" s="72" t="s">
        <v>2100</v>
      </c>
      <c r="D233" s="73" t="s">
        <v>2101</v>
      </c>
      <c r="E233" s="71" t="s">
        <v>2071</v>
      </c>
      <c r="F233" s="73"/>
      <c r="G233" s="74" t="s">
        <v>2766</v>
      </c>
      <c r="H233" s="73"/>
      <c r="I233" s="77" t="s">
        <v>2781</v>
      </c>
      <c r="J233" s="74" t="b">
        <v>1</v>
      </c>
      <c r="K233" s="71" t="s">
        <v>2102</v>
      </c>
      <c r="L233" s="71" t="s">
        <v>2941</v>
      </c>
      <c r="M233" s="76" t="s">
        <v>3103</v>
      </c>
    </row>
    <row r="234" ht="21.0" customHeight="1">
      <c r="A234" s="70">
        <v>220.0</v>
      </c>
      <c r="B234" s="71" t="s">
        <v>43</v>
      </c>
      <c r="C234" s="72" t="s">
        <v>2107</v>
      </c>
      <c r="D234" s="73" t="s">
        <v>2108</v>
      </c>
      <c r="E234" s="71" t="s">
        <v>2071</v>
      </c>
      <c r="F234" s="73"/>
      <c r="G234" s="74" t="s">
        <v>2766</v>
      </c>
      <c r="H234" s="73"/>
      <c r="I234" s="77" t="s">
        <v>2781</v>
      </c>
      <c r="J234" s="74" t="b">
        <v>1</v>
      </c>
      <c r="K234" s="71" t="s">
        <v>2109</v>
      </c>
      <c r="L234" s="71" t="s">
        <v>2941</v>
      </c>
      <c r="M234" s="76" t="s">
        <v>3104</v>
      </c>
    </row>
    <row r="235" ht="21.0" customHeight="1">
      <c r="A235" s="70">
        <v>221.0</v>
      </c>
      <c r="B235" s="71" t="s">
        <v>43</v>
      </c>
      <c r="C235" s="72" t="s">
        <v>2114</v>
      </c>
      <c r="D235" s="73" t="s">
        <v>2115</v>
      </c>
      <c r="E235" s="71" t="s">
        <v>2071</v>
      </c>
      <c r="F235" s="73"/>
      <c r="G235" s="74" t="s">
        <v>2766</v>
      </c>
      <c r="H235" s="73"/>
      <c r="I235" s="77" t="s">
        <v>2781</v>
      </c>
      <c r="J235" s="74" t="b">
        <v>1</v>
      </c>
      <c r="K235" s="71" t="s">
        <v>2116</v>
      </c>
      <c r="L235" s="71" t="s">
        <v>2941</v>
      </c>
      <c r="M235" s="76" t="s">
        <v>3105</v>
      </c>
    </row>
    <row r="236" ht="21.0" customHeight="1">
      <c r="A236" s="70">
        <v>222.0</v>
      </c>
      <c r="B236" s="71" t="s">
        <v>43</v>
      </c>
      <c r="C236" s="72" t="s">
        <v>2121</v>
      </c>
      <c r="D236" s="73" t="s">
        <v>2122</v>
      </c>
      <c r="E236" s="71" t="s">
        <v>2071</v>
      </c>
      <c r="F236" s="73"/>
      <c r="G236" s="74" t="s">
        <v>2766</v>
      </c>
      <c r="H236" s="73"/>
      <c r="I236" s="77" t="s">
        <v>2781</v>
      </c>
      <c r="J236" s="74" t="b">
        <v>1</v>
      </c>
      <c r="K236" s="71" t="s">
        <v>2123</v>
      </c>
      <c r="L236" s="71" t="s">
        <v>2941</v>
      </c>
      <c r="M236" s="76" t="s">
        <v>3106</v>
      </c>
    </row>
    <row r="237" ht="21.0" customHeight="1">
      <c r="A237" s="70">
        <v>223.0</v>
      </c>
      <c r="B237" s="71" t="s">
        <v>43</v>
      </c>
      <c r="C237" s="72" t="s">
        <v>2135</v>
      </c>
      <c r="D237" s="73" t="s">
        <v>2137</v>
      </c>
      <c r="E237" s="71" t="s">
        <v>2136</v>
      </c>
      <c r="F237" s="73"/>
      <c r="G237" s="74" t="s">
        <v>2766</v>
      </c>
      <c r="H237" s="73"/>
      <c r="I237" s="77" t="s">
        <v>2781</v>
      </c>
      <c r="J237" s="74" t="b">
        <v>1</v>
      </c>
      <c r="K237" s="71" t="s">
        <v>2138</v>
      </c>
      <c r="L237" s="71" t="s">
        <v>2941</v>
      </c>
      <c r="M237" s="76" t="s">
        <v>3107</v>
      </c>
    </row>
    <row r="238" ht="21.0" customHeight="1">
      <c r="A238" s="70">
        <v>224.0</v>
      </c>
      <c r="B238" s="71" t="s">
        <v>43</v>
      </c>
      <c r="C238" s="72" t="s">
        <v>2143</v>
      </c>
      <c r="D238" s="73" t="s">
        <v>2137</v>
      </c>
      <c r="E238" s="71" t="s">
        <v>2136</v>
      </c>
      <c r="F238" s="73"/>
      <c r="G238" s="74" t="s">
        <v>2766</v>
      </c>
      <c r="H238" s="73"/>
      <c r="I238" s="77" t="s">
        <v>2781</v>
      </c>
      <c r="J238" s="74" t="b">
        <v>1</v>
      </c>
      <c r="K238" s="71" t="s">
        <v>2144</v>
      </c>
      <c r="L238" s="71" t="s">
        <v>2941</v>
      </c>
      <c r="M238" s="76" t="s">
        <v>3108</v>
      </c>
    </row>
    <row r="239" ht="21.0" customHeight="1">
      <c r="A239" s="70">
        <v>225.0</v>
      </c>
      <c r="B239" s="71" t="s">
        <v>43</v>
      </c>
      <c r="C239" s="72" t="s">
        <v>2149</v>
      </c>
      <c r="D239" s="73" t="s">
        <v>2137</v>
      </c>
      <c r="E239" s="71" t="s">
        <v>2136</v>
      </c>
      <c r="F239" s="73"/>
      <c r="G239" s="74" t="s">
        <v>2766</v>
      </c>
      <c r="H239" s="73"/>
      <c r="I239" s="77" t="s">
        <v>2781</v>
      </c>
      <c r="J239" s="74" t="b">
        <v>1</v>
      </c>
      <c r="K239" s="71" t="s">
        <v>2150</v>
      </c>
      <c r="L239" s="71" t="s">
        <v>2941</v>
      </c>
      <c r="M239" s="76" t="s">
        <v>3109</v>
      </c>
    </row>
    <row r="240" ht="21.0" customHeight="1">
      <c r="A240" s="70">
        <v>226.0</v>
      </c>
      <c r="B240" s="71" t="s">
        <v>43</v>
      </c>
      <c r="C240" s="72" t="s">
        <v>2154</v>
      </c>
      <c r="D240" s="73" t="s">
        <v>2137</v>
      </c>
      <c r="E240" s="71" t="s">
        <v>2136</v>
      </c>
      <c r="F240" s="73"/>
      <c r="G240" s="74" t="s">
        <v>2766</v>
      </c>
      <c r="H240" s="73"/>
      <c r="I240" s="77" t="s">
        <v>2781</v>
      </c>
      <c r="J240" s="74" t="b">
        <v>1</v>
      </c>
      <c r="K240" s="71" t="s">
        <v>2155</v>
      </c>
      <c r="L240" s="71" t="s">
        <v>2941</v>
      </c>
      <c r="M240" s="76" t="s">
        <v>3110</v>
      </c>
    </row>
    <row r="241" ht="21.0" customHeight="1">
      <c r="A241" s="70">
        <v>227.0</v>
      </c>
      <c r="B241" s="71" t="s">
        <v>43</v>
      </c>
      <c r="C241" s="72" t="s">
        <v>2165</v>
      </c>
      <c r="D241" s="73" t="s">
        <v>3111</v>
      </c>
      <c r="E241" s="71" t="s">
        <v>2160</v>
      </c>
      <c r="F241" s="73"/>
      <c r="G241" s="74" t="s">
        <v>2766</v>
      </c>
      <c r="H241" s="73"/>
      <c r="I241" s="77" t="s">
        <v>2781</v>
      </c>
      <c r="J241" s="74" t="b">
        <v>1</v>
      </c>
      <c r="K241" s="71" t="s">
        <v>2166</v>
      </c>
      <c r="L241" s="71" t="s">
        <v>2941</v>
      </c>
      <c r="M241" s="76" t="s">
        <v>3112</v>
      </c>
    </row>
    <row r="242" ht="21.0" customHeight="1">
      <c r="A242" s="70">
        <v>228.0</v>
      </c>
      <c r="B242" s="71" t="s">
        <v>43</v>
      </c>
      <c r="C242" s="72" t="s">
        <v>2169</v>
      </c>
      <c r="D242" s="73" t="s">
        <v>3113</v>
      </c>
      <c r="E242" s="71" t="s">
        <v>2160</v>
      </c>
      <c r="F242" s="73"/>
      <c r="G242" s="74" t="s">
        <v>2766</v>
      </c>
      <c r="H242" s="73"/>
      <c r="I242" s="77" t="s">
        <v>2781</v>
      </c>
      <c r="J242" s="74" t="b">
        <v>1</v>
      </c>
      <c r="K242" s="71" t="s">
        <v>2170</v>
      </c>
      <c r="L242" s="71" t="s">
        <v>2941</v>
      </c>
      <c r="M242" s="76" t="s">
        <v>3114</v>
      </c>
    </row>
    <row r="243" ht="21.0" customHeight="1">
      <c r="A243" s="70">
        <v>229.0</v>
      </c>
      <c r="B243" s="71" t="s">
        <v>43</v>
      </c>
      <c r="C243" s="72" t="s">
        <v>2173</v>
      </c>
      <c r="D243" s="73" t="s">
        <v>3115</v>
      </c>
      <c r="E243" s="71" t="s">
        <v>2160</v>
      </c>
      <c r="F243" s="73"/>
      <c r="G243" s="74" t="s">
        <v>2766</v>
      </c>
      <c r="H243" s="73"/>
      <c r="I243" s="77" t="s">
        <v>2781</v>
      </c>
      <c r="J243" s="74" t="b">
        <v>1</v>
      </c>
      <c r="K243" s="71" t="s">
        <v>2174</v>
      </c>
      <c r="L243" s="71" t="s">
        <v>2941</v>
      </c>
      <c r="M243" s="76" t="s">
        <v>3116</v>
      </c>
    </row>
    <row r="244" ht="21.0" customHeight="1">
      <c r="A244" s="70">
        <v>230.0</v>
      </c>
      <c r="B244" s="71" t="s">
        <v>43</v>
      </c>
      <c r="C244" s="72" t="s">
        <v>2177</v>
      </c>
      <c r="D244" s="73" t="s">
        <v>3117</v>
      </c>
      <c r="E244" s="71" t="s">
        <v>2160</v>
      </c>
      <c r="F244" s="73"/>
      <c r="G244" s="74" t="s">
        <v>2766</v>
      </c>
      <c r="H244" s="73"/>
      <c r="I244" s="77" t="s">
        <v>2781</v>
      </c>
      <c r="J244" s="74" t="b">
        <v>1</v>
      </c>
      <c r="K244" s="71" t="s">
        <v>2178</v>
      </c>
      <c r="L244" s="71" t="s">
        <v>2941</v>
      </c>
      <c r="M244" s="76" t="s">
        <v>3118</v>
      </c>
    </row>
    <row r="245" ht="21.0" customHeight="1">
      <c r="A245" s="70">
        <v>231.0</v>
      </c>
      <c r="B245" s="71" t="s">
        <v>49</v>
      </c>
      <c r="C245" s="72" t="s">
        <v>2364</v>
      </c>
      <c r="D245" s="73" t="s">
        <v>2366</v>
      </c>
      <c r="E245" s="71" t="s">
        <v>2365</v>
      </c>
      <c r="F245" s="73"/>
      <c r="G245" s="74" t="s">
        <v>2766</v>
      </c>
      <c r="H245" s="73"/>
      <c r="I245" s="77" t="s">
        <v>2781</v>
      </c>
      <c r="J245" s="74" t="b">
        <v>1</v>
      </c>
      <c r="K245" s="71" t="s">
        <v>2367</v>
      </c>
      <c r="L245" s="71" t="s">
        <v>2941</v>
      </c>
      <c r="M245" s="76" t="s">
        <v>3119</v>
      </c>
    </row>
    <row r="246" ht="21.0" customHeight="1">
      <c r="A246" s="70">
        <v>232.0</v>
      </c>
      <c r="B246" s="71" t="s">
        <v>49</v>
      </c>
      <c r="C246" s="72" t="s">
        <v>2372</v>
      </c>
      <c r="D246" s="73" t="s">
        <v>2373</v>
      </c>
      <c r="E246" s="71" t="s">
        <v>2365</v>
      </c>
      <c r="F246" s="73"/>
      <c r="G246" s="74" t="s">
        <v>2766</v>
      </c>
      <c r="H246" s="73"/>
      <c r="I246" s="77" t="s">
        <v>2781</v>
      </c>
      <c r="J246" s="74" t="b">
        <v>1</v>
      </c>
      <c r="K246" s="71" t="s">
        <v>2374</v>
      </c>
      <c r="L246" s="71" t="s">
        <v>2941</v>
      </c>
      <c r="M246" s="76" t="s">
        <v>3120</v>
      </c>
    </row>
    <row r="247" ht="21.0" customHeight="1">
      <c r="A247" s="70">
        <v>233.0</v>
      </c>
      <c r="B247" s="71" t="s">
        <v>49</v>
      </c>
      <c r="C247" s="72" t="s">
        <v>2379</v>
      </c>
      <c r="D247" s="73" t="s">
        <v>2381</v>
      </c>
      <c r="E247" s="71" t="s">
        <v>2380</v>
      </c>
      <c r="F247" s="73"/>
      <c r="G247" s="74" t="s">
        <v>2766</v>
      </c>
      <c r="H247" s="73"/>
      <c r="I247" s="77" t="s">
        <v>2781</v>
      </c>
      <c r="J247" s="74" t="b">
        <v>1</v>
      </c>
      <c r="K247" s="71" t="s">
        <v>2382</v>
      </c>
      <c r="L247" s="71" t="s">
        <v>2941</v>
      </c>
      <c r="M247" s="76" t="s">
        <v>3121</v>
      </c>
    </row>
    <row r="248" ht="21.0" customHeight="1">
      <c r="A248" s="70">
        <v>234.0</v>
      </c>
      <c r="B248" s="71" t="s">
        <v>49</v>
      </c>
      <c r="C248" s="72" t="s">
        <v>2387</v>
      </c>
      <c r="D248" s="73" t="s">
        <v>2388</v>
      </c>
      <c r="E248" s="71" t="s">
        <v>2380</v>
      </c>
      <c r="F248" s="73"/>
      <c r="G248" s="74" t="s">
        <v>2766</v>
      </c>
      <c r="H248" s="73"/>
      <c r="I248" s="77" t="s">
        <v>2781</v>
      </c>
      <c r="J248" s="74" t="b">
        <v>1</v>
      </c>
      <c r="K248" s="71" t="s">
        <v>2389</v>
      </c>
      <c r="L248" s="71" t="s">
        <v>2941</v>
      </c>
      <c r="M248" s="76" t="s">
        <v>3122</v>
      </c>
    </row>
    <row r="249" ht="21.0" customHeight="1">
      <c r="A249" s="70">
        <v>235.0</v>
      </c>
      <c r="B249" s="71" t="s">
        <v>49</v>
      </c>
      <c r="C249" s="72" t="s">
        <v>2401</v>
      </c>
      <c r="D249" s="73" t="s">
        <v>2403</v>
      </c>
      <c r="E249" s="71" t="s">
        <v>2402</v>
      </c>
      <c r="F249" s="73"/>
      <c r="G249" s="74" t="s">
        <v>2766</v>
      </c>
      <c r="H249" s="73"/>
      <c r="I249" s="77" t="s">
        <v>2781</v>
      </c>
      <c r="J249" s="74" t="b">
        <v>1</v>
      </c>
      <c r="K249" s="71" t="s">
        <v>2404</v>
      </c>
      <c r="L249" s="71" t="s">
        <v>2941</v>
      </c>
      <c r="M249" s="76" t="s">
        <v>3123</v>
      </c>
    </row>
    <row r="250" ht="21.0" customHeight="1">
      <c r="A250" s="70">
        <v>236.0</v>
      </c>
      <c r="B250" s="71" t="s">
        <v>49</v>
      </c>
      <c r="C250" s="72" t="s">
        <v>2410</v>
      </c>
      <c r="D250" s="73" t="s">
        <v>2411</v>
      </c>
      <c r="E250" s="71" t="s">
        <v>2402</v>
      </c>
      <c r="F250" s="73"/>
      <c r="G250" s="74" t="s">
        <v>2766</v>
      </c>
      <c r="H250" s="73"/>
      <c r="I250" s="77" t="s">
        <v>2781</v>
      </c>
      <c r="J250" s="74" t="b">
        <v>1</v>
      </c>
      <c r="K250" s="71" t="s">
        <v>2412</v>
      </c>
      <c r="L250" s="71" t="s">
        <v>2941</v>
      </c>
      <c r="M250" s="76" t="s">
        <v>3124</v>
      </c>
    </row>
    <row r="251" ht="21.0" customHeight="1">
      <c r="A251" s="70">
        <v>237.0</v>
      </c>
      <c r="B251" s="71" t="s">
        <v>49</v>
      </c>
      <c r="C251" s="72" t="s">
        <v>2417</v>
      </c>
      <c r="D251" s="73" t="s">
        <v>2418</v>
      </c>
      <c r="E251" s="71" t="s">
        <v>2402</v>
      </c>
      <c r="F251" s="73"/>
      <c r="G251" s="74" t="s">
        <v>2766</v>
      </c>
      <c r="H251" s="73"/>
      <c r="I251" s="77" t="s">
        <v>2781</v>
      </c>
      <c r="J251" s="74" t="b">
        <v>1</v>
      </c>
      <c r="K251" s="71" t="s">
        <v>2419</v>
      </c>
      <c r="L251" s="71" t="s">
        <v>2941</v>
      </c>
      <c r="M251" s="76" t="s">
        <v>3125</v>
      </c>
    </row>
    <row r="252" ht="21.0" customHeight="1">
      <c r="A252" s="70">
        <v>238.0</v>
      </c>
      <c r="B252" s="71" t="s">
        <v>49</v>
      </c>
      <c r="C252" s="72" t="s">
        <v>2438</v>
      </c>
      <c r="D252" s="73" t="s">
        <v>2440</v>
      </c>
      <c r="E252" s="71" t="s">
        <v>2439</v>
      </c>
      <c r="F252" s="73"/>
      <c r="G252" s="74" t="s">
        <v>2766</v>
      </c>
      <c r="H252" s="73"/>
      <c r="I252" s="77" t="s">
        <v>2781</v>
      </c>
      <c r="J252" s="74" t="b">
        <v>1</v>
      </c>
      <c r="K252" s="71" t="s">
        <v>2441</v>
      </c>
      <c r="L252" s="71" t="s">
        <v>2941</v>
      </c>
      <c r="M252" s="76" t="s">
        <v>3126</v>
      </c>
    </row>
    <row r="253" ht="21.0" customHeight="1">
      <c r="A253" s="70">
        <v>239.0</v>
      </c>
      <c r="B253" s="71" t="s">
        <v>49</v>
      </c>
      <c r="C253" s="72" t="s">
        <v>2446</v>
      </c>
      <c r="D253" s="73" t="s">
        <v>2447</v>
      </c>
      <c r="E253" s="71" t="s">
        <v>2439</v>
      </c>
      <c r="F253" s="73"/>
      <c r="G253" s="74" t="s">
        <v>2766</v>
      </c>
      <c r="H253" s="73"/>
      <c r="I253" s="77" t="s">
        <v>2781</v>
      </c>
      <c r="J253" s="74" t="b">
        <v>1</v>
      </c>
      <c r="K253" s="71" t="s">
        <v>2448</v>
      </c>
      <c r="L253" s="71" t="s">
        <v>2941</v>
      </c>
      <c r="M253" s="76" t="s">
        <v>3127</v>
      </c>
    </row>
    <row r="254" ht="21.0" customHeight="1">
      <c r="A254" s="70">
        <v>240.0</v>
      </c>
      <c r="B254" s="71" t="s">
        <v>49</v>
      </c>
      <c r="C254" s="72" t="s">
        <v>2453</v>
      </c>
      <c r="D254" s="73" t="s">
        <v>2454</v>
      </c>
      <c r="E254" s="71" t="s">
        <v>2439</v>
      </c>
      <c r="F254" s="73"/>
      <c r="G254" s="74" t="s">
        <v>2766</v>
      </c>
      <c r="H254" s="73"/>
      <c r="I254" s="77" t="s">
        <v>2781</v>
      </c>
      <c r="J254" s="74" t="b">
        <v>1</v>
      </c>
      <c r="K254" s="71" t="s">
        <v>2455</v>
      </c>
      <c r="L254" s="71" t="s">
        <v>2941</v>
      </c>
      <c r="M254" s="76" t="s">
        <v>3128</v>
      </c>
    </row>
    <row r="255" ht="21.0" customHeight="1">
      <c r="A255" s="70">
        <v>241.0</v>
      </c>
      <c r="B255" s="71" t="s">
        <v>49</v>
      </c>
      <c r="C255" s="72" t="s">
        <v>2461</v>
      </c>
      <c r="D255" s="73" t="s">
        <v>2463</v>
      </c>
      <c r="E255" s="71" t="s">
        <v>2462</v>
      </c>
      <c r="F255" s="73"/>
      <c r="G255" s="74" t="s">
        <v>2766</v>
      </c>
      <c r="H255" s="73"/>
      <c r="I255" s="77" t="s">
        <v>2781</v>
      </c>
      <c r="J255" s="74" t="b">
        <v>1</v>
      </c>
      <c r="K255" s="71" t="s">
        <v>2464</v>
      </c>
      <c r="L255" s="71" t="s">
        <v>2941</v>
      </c>
      <c r="M255" s="76" t="s">
        <v>3129</v>
      </c>
    </row>
    <row r="256" ht="21.0" customHeight="1">
      <c r="A256" s="70">
        <v>242.0</v>
      </c>
      <c r="B256" s="71" t="s">
        <v>49</v>
      </c>
      <c r="C256" s="72" t="s">
        <v>2469</v>
      </c>
      <c r="D256" s="73" t="s">
        <v>2470</v>
      </c>
      <c r="E256" s="71" t="s">
        <v>2462</v>
      </c>
      <c r="F256" s="73"/>
      <c r="G256" s="74" t="s">
        <v>2766</v>
      </c>
      <c r="H256" s="73"/>
      <c r="I256" s="77" t="s">
        <v>2781</v>
      </c>
      <c r="J256" s="74" t="b">
        <v>1</v>
      </c>
      <c r="K256" s="71" t="s">
        <v>2471</v>
      </c>
      <c r="L256" s="71" t="s">
        <v>2941</v>
      </c>
      <c r="M256" s="76" t="s">
        <v>3130</v>
      </c>
    </row>
    <row r="257" ht="21.0" customHeight="1">
      <c r="A257" s="70">
        <v>243.0</v>
      </c>
      <c r="B257" s="71" t="s">
        <v>49</v>
      </c>
      <c r="C257" s="72" t="s">
        <v>2483</v>
      </c>
      <c r="D257" s="73" t="s">
        <v>2485</v>
      </c>
      <c r="E257" s="71" t="s">
        <v>2484</v>
      </c>
      <c r="F257" s="73"/>
      <c r="G257" s="74" t="s">
        <v>2766</v>
      </c>
      <c r="H257" s="73"/>
      <c r="I257" s="77" t="s">
        <v>2781</v>
      </c>
      <c r="J257" s="74" t="b">
        <v>1</v>
      </c>
      <c r="K257" s="71" t="s">
        <v>2486</v>
      </c>
      <c r="L257" s="71" t="s">
        <v>2941</v>
      </c>
      <c r="M257" s="76" t="s">
        <v>3131</v>
      </c>
    </row>
    <row r="258" ht="21.0" customHeight="1">
      <c r="A258" s="70">
        <v>244.0</v>
      </c>
      <c r="B258" s="71" t="s">
        <v>49</v>
      </c>
      <c r="C258" s="72" t="s">
        <v>2491</v>
      </c>
      <c r="D258" s="73" t="s">
        <v>2492</v>
      </c>
      <c r="E258" s="71" t="s">
        <v>2484</v>
      </c>
      <c r="F258" s="73"/>
      <c r="G258" s="74" t="s">
        <v>2766</v>
      </c>
      <c r="H258" s="73"/>
      <c r="I258" s="77" t="s">
        <v>2781</v>
      </c>
      <c r="J258" s="74" t="b">
        <v>1</v>
      </c>
      <c r="K258" s="71" t="s">
        <v>2493</v>
      </c>
      <c r="L258" s="71" t="s">
        <v>2941</v>
      </c>
      <c r="M258" s="76" t="s">
        <v>3132</v>
      </c>
    </row>
    <row r="259" ht="21.0" customHeight="1">
      <c r="A259" s="70">
        <v>245.0</v>
      </c>
      <c r="B259" s="71" t="s">
        <v>49</v>
      </c>
      <c r="C259" s="72" t="s">
        <v>2498</v>
      </c>
      <c r="D259" s="73" t="s">
        <v>2500</v>
      </c>
      <c r="E259" s="71" t="s">
        <v>2499</v>
      </c>
      <c r="F259" s="73"/>
      <c r="G259" s="74" t="s">
        <v>2766</v>
      </c>
      <c r="H259" s="73"/>
      <c r="I259" s="77" t="s">
        <v>2781</v>
      </c>
      <c r="J259" s="74" t="b">
        <v>1</v>
      </c>
      <c r="K259" s="71" t="s">
        <v>2501</v>
      </c>
      <c r="L259" s="71" t="s">
        <v>2941</v>
      </c>
      <c r="M259" s="76" t="s">
        <v>3133</v>
      </c>
    </row>
    <row r="260" ht="21.0" customHeight="1">
      <c r="A260" s="70">
        <v>246.0</v>
      </c>
      <c r="B260" s="71" t="s">
        <v>49</v>
      </c>
      <c r="C260" s="72" t="s">
        <v>2506</v>
      </c>
      <c r="D260" s="73" t="s">
        <v>2500</v>
      </c>
      <c r="E260" s="71" t="s">
        <v>2499</v>
      </c>
      <c r="F260" s="73"/>
      <c r="G260" s="74" t="s">
        <v>2766</v>
      </c>
      <c r="H260" s="73"/>
      <c r="I260" s="77" t="s">
        <v>2781</v>
      </c>
      <c r="J260" s="74" t="b">
        <v>1</v>
      </c>
      <c r="K260" s="71" t="s">
        <v>2507</v>
      </c>
      <c r="L260" s="71" t="s">
        <v>2941</v>
      </c>
      <c r="M260" s="76" t="s">
        <v>3134</v>
      </c>
    </row>
    <row r="261" ht="21.0" customHeight="1">
      <c r="A261" s="70">
        <v>247.0</v>
      </c>
      <c r="B261" s="71" t="s">
        <v>49</v>
      </c>
      <c r="C261" s="72" t="s">
        <v>2512</v>
      </c>
      <c r="D261" s="73" t="s">
        <v>2500</v>
      </c>
      <c r="E261" s="71" t="s">
        <v>2499</v>
      </c>
      <c r="F261" s="73"/>
      <c r="G261" s="74" t="s">
        <v>2766</v>
      </c>
      <c r="H261" s="73"/>
      <c r="I261" s="77" t="s">
        <v>2781</v>
      </c>
      <c r="J261" s="74" t="b">
        <v>1</v>
      </c>
      <c r="K261" s="71" t="s">
        <v>2513</v>
      </c>
      <c r="L261" s="71" t="s">
        <v>2941</v>
      </c>
      <c r="M261" s="76" t="s">
        <v>3135</v>
      </c>
    </row>
    <row r="262" ht="21.0" customHeight="1">
      <c r="A262" s="70">
        <v>248.0</v>
      </c>
      <c r="B262" s="71" t="s">
        <v>49</v>
      </c>
      <c r="C262" s="72" t="s">
        <v>2518</v>
      </c>
      <c r="D262" s="73" t="s">
        <v>2520</v>
      </c>
      <c r="E262" s="71" t="s">
        <v>2519</v>
      </c>
      <c r="F262" s="73"/>
      <c r="G262" s="74" t="s">
        <v>2766</v>
      </c>
      <c r="H262" s="73"/>
      <c r="I262" s="77" t="s">
        <v>2781</v>
      </c>
      <c r="J262" s="74" t="b">
        <v>1</v>
      </c>
      <c r="K262" s="71" t="s">
        <v>2521</v>
      </c>
      <c r="L262" s="71" t="s">
        <v>2941</v>
      </c>
      <c r="M262" s="76" t="s">
        <v>3136</v>
      </c>
    </row>
    <row r="263" ht="21.0" customHeight="1">
      <c r="A263" s="70">
        <v>249.0</v>
      </c>
      <c r="B263" s="71" t="s">
        <v>49</v>
      </c>
      <c r="C263" s="72" t="s">
        <v>2526</v>
      </c>
      <c r="D263" s="73" t="s">
        <v>2286</v>
      </c>
      <c r="E263" s="71" t="s">
        <v>2519</v>
      </c>
      <c r="F263" s="73"/>
      <c r="G263" s="74" t="s">
        <v>2766</v>
      </c>
      <c r="H263" s="73"/>
      <c r="I263" s="77" t="s">
        <v>2781</v>
      </c>
      <c r="J263" s="74" t="b">
        <v>1</v>
      </c>
      <c r="K263" s="71" t="s">
        <v>2527</v>
      </c>
      <c r="L263" s="71" t="s">
        <v>2941</v>
      </c>
      <c r="M263" s="76" t="s">
        <v>3137</v>
      </c>
    </row>
    <row r="264" ht="21.0" customHeight="1">
      <c r="A264" s="70">
        <v>250.0</v>
      </c>
      <c r="B264" s="71" t="s">
        <v>49</v>
      </c>
      <c r="C264" s="72" t="s">
        <v>2532</v>
      </c>
      <c r="D264" s="73" t="s">
        <v>2533</v>
      </c>
      <c r="E264" s="71" t="s">
        <v>2519</v>
      </c>
      <c r="F264" s="73"/>
      <c r="G264" s="74" t="s">
        <v>2766</v>
      </c>
      <c r="H264" s="73"/>
      <c r="I264" s="77" t="s">
        <v>2781</v>
      </c>
      <c r="J264" s="74" t="b">
        <v>1</v>
      </c>
      <c r="K264" s="71" t="s">
        <v>2534</v>
      </c>
      <c r="L264" s="71" t="s">
        <v>2941</v>
      </c>
      <c r="M264" s="76" t="s">
        <v>3138</v>
      </c>
    </row>
    <row r="265" ht="21.0" customHeight="1">
      <c r="A265" s="70">
        <v>251.0</v>
      </c>
      <c r="B265" s="71" t="s">
        <v>49</v>
      </c>
      <c r="C265" s="72" t="s">
        <v>2539</v>
      </c>
      <c r="D265" s="73" t="s">
        <v>2540</v>
      </c>
      <c r="E265" s="71" t="s">
        <v>2519</v>
      </c>
      <c r="F265" s="73"/>
      <c r="G265" s="74" t="s">
        <v>2766</v>
      </c>
      <c r="H265" s="73"/>
      <c r="I265" s="77" t="s">
        <v>2781</v>
      </c>
      <c r="J265" s="74" t="b">
        <v>1</v>
      </c>
      <c r="K265" s="71" t="s">
        <v>2541</v>
      </c>
      <c r="L265" s="71" t="s">
        <v>2941</v>
      </c>
      <c r="M265" s="76" t="s">
        <v>3139</v>
      </c>
    </row>
    <row r="266" ht="21.0" customHeight="1">
      <c r="A266" s="70">
        <v>252.0</v>
      </c>
      <c r="B266" s="71" t="s">
        <v>49</v>
      </c>
      <c r="C266" s="72" t="s">
        <v>2553</v>
      </c>
      <c r="D266" s="73" t="s">
        <v>2555</v>
      </c>
      <c r="E266" s="71" t="s">
        <v>2554</v>
      </c>
      <c r="F266" s="73"/>
      <c r="G266" s="74" t="s">
        <v>2766</v>
      </c>
      <c r="H266" s="73"/>
      <c r="I266" s="77" t="s">
        <v>2781</v>
      </c>
      <c r="J266" s="74" t="b">
        <v>1</v>
      </c>
      <c r="K266" s="71" t="s">
        <v>2556</v>
      </c>
      <c r="L266" s="71" t="s">
        <v>2941</v>
      </c>
      <c r="M266" s="76" t="s">
        <v>3140</v>
      </c>
    </row>
    <row r="267" ht="21.0" customHeight="1">
      <c r="A267" s="70">
        <v>253.0</v>
      </c>
      <c r="B267" s="71" t="s">
        <v>49</v>
      </c>
      <c r="C267" s="72" t="s">
        <v>2561</v>
      </c>
      <c r="D267" s="73" t="s">
        <v>2562</v>
      </c>
      <c r="E267" s="71" t="s">
        <v>2554</v>
      </c>
      <c r="F267" s="73"/>
      <c r="G267" s="74" t="s">
        <v>2766</v>
      </c>
      <c r="H267" s="73"/>
      <c r="I267" s="77" t="s">
        <v>2781</v>
      </c>
      <c r="J267" s="74" t="b">
        <v>1</v>
      </c>
      <c r="K267" s="71" t="s">
        <v>2563</v>
      </c>
      <c r="L267" s="71" t="s">
        <v>2941</v>
      </c>
      <c r="M267" s="76" t="s">
        <v>3141</v>
      </c>
    </row>
    <row r="268" ht="21.0" customHeight="1">
      <c r="A268" s="70">
        <v>254.0</v>
      </c>
      <c r="B268" s="71" t="s">
        <v>49</v>
      </c>
      <c r="C268" s="72" t="s">
        <v>2568</v>
      </c>
      <c r="D268" s="73" t="s">
        <v>2569</v>
      </c>
      <c r="E268" s="71" t="s">
        <v>2554</v>
      </c>
      <c r="F268" s="73"/>
      <c r="G268" s="74" t="s">
        <v>2766</v>
      </c>
      <c r="H268" s="73"/>
      <c r="I268" s="77" t="s">
        <v>2781</v>
      </c>
      <c r="J268" s="74" t="b">
        <v>1</v>
      </c>
      <c r="K268" s="71" t="s">
        <v>2570</v>
      </c>
      <c r="L268" s="71" t="s">
        <v>2941</v>
      </c>
      <c r="M268" s="76" t="s">
        <v>3142</v>
      </c>
    </row>
    <row r="269" ht="21.0" customHeight="1">
      <c r="A269" s="70">
        <v>255.0</v>
      </c>
      <c r="B269" s="71" t="s">
        <v>49</v>
      </c>
      <c r="C269" s="72" t="s">
        <v>2575</v>
      </c>
      <c r="D269" s="73" t="s">
        <v>2577</v>
      </c>
      <c r="E269" s="71" t="s">
        <v>2576</v>
      </c>
      <c r="F269" s="73"/>
      <c r="G269" s="74" t="s">
        <v>2766</v>
      </c>
      <c r="H269" s="73"/>
      <c r="I269" s="77" t="s">
        <v>2781</v>
      </c>
      <c r="J269" s="74" t="b">
        <v>1</v>
      </c>
      <c r="K269" s="71" t="s">
        <v>2578</v>
      </c>
      <c r="L269" s="71" t="s">
        <v>2941</v>
      </c>
      <c r="M269" s="76" t="s">
        <v>3143</v>
      </c>
    </row>
    <row r="270" ht="21.0" customHeight="1">
      <c r="A270" s="70">
        <v>256.0</v>
      </c>
      <c r="B270" s="71" t="s">
        <v>49</v>
      </c>
      <c r="C270" s="72" t="s">
        <v>2583</v>
      </c>
      <c r="D270" s="73" t="s">
        <v>2584</v>
      </c>
      <c r="E270" s="71" t="s">
        <v>2576</v>
      </c>
      <c r="F270" s="73"/>
      <c r="G270" s="74" t="s">
        <v>2766</v>
      </c>
      <c r="H270" s="73"/>
      <c r="I270" s="77" t="s">
        <v>2781</v>
      </c>
      <c r="J270" s="74" t="b">
        <v>1</v>
      </c>
      <c r="K270" s="71" t="s">
        <v>2585</v>
      </c>
      <c r="L270" s="71" t="s">
        <v>2941</v>
      </c>
      <c r="M270" s="76" t="s">
        <v>3144</v>
      </c>
    </row>
    <row r="271" ht="21.0" customHeight="1">
      <c r="A271" s="70">
        <v>257.0</v>
      </c>
      <c r="B271" s="71" t="s">
        <v>49</v>
      </c>
      <c r="C271" s="72" t="s">
        <v>2604</v>
      </c>
      <c r="D271" s="73" t="s">
        <v>2606</v>
      </c>
      <c r="E271" s="71" t="s">
        <v>2605</v>
      </c>
      <c r="F271" s="73"/>
      <c r="G271" s="74" t="s">
        <v>2766</v>
      </c>
      <c r="H271" s="73"/>
      <c r="I271" s="77" t="s">
        <v>2781</v>
      </c>
      <c r="J271" s="74" t="b">
        <v>1</v>
      </c>
      <c r="K271" s="71" t="s">
        <v>2607</v>
      </c>
      <c r="L271" s="71" t="s">
        <v>2941</v>
      </c>
      <c r="M271" s="76" t="s">
        <v>3145</v>
      </c>
    </row>
    <row r="272" ht="21.0" customHeight="1">
      <c r="A272" s="70">
        <v>258.0</v>
      </c>
      <c r="B272" s="71" t="s">
        <v>49</v>
      </c>
      <c r="C272" s="72" t="s">
        <v>2612</v>
      </c>
      <c r="D272" s="73" t="s">
        <v>2613</v>
      </c>
      <c r="E272" s="71" t="s">
        <v>2605</v>
      </c>
      <c r="F272" s="73"/>
      <c r="G272" s="74" t="s">
        <v>2766</v>
      </c>
      <c r="H272" s="73"/>
      <c r="I272" s="77" t="s">
        <v>2781</v>
      </c>
      <c r="J272" s="74" t="b">
        <v>1</v>
      </c>
      <c r="K272" s="71" t="s">
        <v>2614</v>
      </c>
      <c r="L272" s="71" t="s">
        <v>2941</v>
      </c>
      <c r="M272" s="76" t="s">
        <v>3146</v>
      </c>
    </row>
    <row r="273" ht="21.0" customHeight="1">
      <c r="A273" s="70">
        <v>259.0</v>
      </c>
      <c r="B273" s="71" t="s">
        <v>49</v>
      </c>
      <c r="C273" s="72" t="s">
        <v>2619</v>
      </c>
      <c r="D273" s="73" t="s">
        <v>2621</v>
      </c>
      <c r="E273" s="71" t="s">
        <v>2620</v>
      </c>
      <c r="F273" s="73"/>
      <c r="G273" s="74" t="s">
        <v>2766</v>
      </c>
      <c r="H273" s="73"/>
      <c r="I273" s="77" t="s">
        <v>2781</v>
      </c>
      <c r="J273" s="74" t="b">
        <v>1</v>
      </c>
      <c r="K273" s="71" t="s">
        <v>2622</v>
      </c>
      <c r="L273" s="71" t="s">
        <v>2941</v>
      </c>
      <c r="M273" s="76" t="s">
        <v>3147</v>
      </c>
    </row>
    <row r="274" ht="21.0" customHeight="1">
      <c r="A274" s="70">
        <v>260.0</v>
      </c>
      <c r="B274" s="71" t="s">
        <v>49</v>
      </c>
      <c r="C274" s="72" t="s">
        <v>2627</v>
      </c>
      <c r="D274" s="73" t="s">
        <v>2628</v>
      </c>
      <c r="E274" s="71" t="s">
        <v>2620</v>
      </c>
      <c r="F274" s="73"/>
      <c r="G274" s="74" t="s">
        <v>2766</v>
      </c>
      <c r="H274" s="73"/>
      <c r="I274" s="77" t="s">
        <v>2781</v>
      </c>
      <c r="J274" s="74" t="b">
        <v>1</v>
      </c>
      <c r="K274" s="71" t="s">
        <v>2629</v>
      </c>
      <c r="L274" s="71" t="s">
        <v>2941</v>
      </c>
      <c r="M274" s="76" t="s">
        <v>3148</v>
      </c>
    </row>
    <row r="275" ht="21.0" customHeight="1">
      <c r="A275" s="70">
        <v>261.0</v>
      </c>
      <c r="B275" s="71" t="s">
        <v>49</v>
      </c>
      <c r="C275" s="72" t="s">
        <v>2634</v>
      </c>
      <c r="D275" s="73" t="s">
        <v>2635</v>
      </c>
      <c r="E275" s="71" t="s">
        <v>2620</v>
      </c>
      <c r="F275" s="73"/>
      <c r="G275" s="74" t="s">
        <v>2766</v>
      </c>
      <c r="H275" s="73"/>
      <c r="I275" s="77" t="s">
        <v>2781</v>
      </c>
      <c r="J275" s="74" t="b">
        <v>1</v>
      </c>
      <c r="K275" s="71" t="s">
        <v>2636</v>
      </c>
      <c r="L275" s="71" t="s">
        <v>2941</v>
      </c>
      <c r="M275" s="76" t="s">
        <v>3149</v>
      </c>
    </row>
    <row r="276" ht="21.0" customHeight="1">
      <c r="A276" s="70">
        <v>262.0</v>
      </c>
      <c r="B276" s="71" t="s">
        <v>49</v>
      </c>
      <c r="C276" s="72" t="s">
        <v>2664</v>
      </c>
      <c r="D276" s="73" t="s">
        <v>2666</v>
      </c>
      <c r="E276" s="71" t="s">
        <v>2665</v>
      </c>
      <c r="F276" s="73"/>
      <c r="G276" s="74" t="s">
        <v>2766</v>
      </c>
      <c r="H276" s="73"/>
      <c r="I276" s="77" t="s">
        <v>2781</v>
      </c>
      <c r="J276" s="74" t="b">
        <v>1</v>
      </c>
      <c r="K276" s="71" t="s">
        <v>2667</v>
      </c>
      <c r="L276" s="71" t="s">
        <v>2941</v>
      </c>
      <c r="M276" s="76" t="s">
        <v>3150</v>
      </c>
    </row>
    <row r="277" ht="21.0" customHeight="1">
      <c r="A277" s="70">
        <v>263.0</v>
      </c>
      <c r="B277" s="71" t="s">
        <v>49</v>
      </c>
      <c r="C277" s="72" t="s">
        <v>2672</v>
      </c>
      <c r="D277" s="73" t="s">
        <v>2666</v>
      </c>
      <c r="E277" s="71" t="s">
        <v>2665</v>
      </c>
      <c r="F277" s="73"/>
      <c r="G277" s="74" t="s">
        <v>2766</v>
      </c>
      <c r="H277" s="73"/>
      <c r="I277" s="77" t="s">
        <v>2781</v>
      </c>
      <c r="J277" s="74" t="b">
        <v>1</v>
      </c>
      <c r="K277" s="71" t="s">
        <v>2673</v>
      </c>
      <c r="L277" s="71" t="s">
        <v>2941</v>
      </c>
      <c r="M277" s="76" t="s">
        <v>3151</v>
      </c>
    </row>
    <row r="278" ht="21.0" customHeight="1">
      <c r="A278" s="70">
        <v>264.0</v>
      </c>
      <c r="B278" s="71" t="s">
        <v>41</v>
      </c>
      <c r="C278" s="72" t="s">
        <v>1102</v>
      </c>
      <c r="D278" s="73" t="s">
        <v>1104</v>
      </c>
      <c r="E278" s="71" t="s">
        <v>1103</v>
      </c>
      <c r="F278" s="73"/>
      <c r="G278" s="74" t="s">
        <v>2766</v>
      </c>
      <c r="H278" s="73"/>
      <c r="I278" s="77" t="s">
        <v>2781</v>
      </c>
      <c r="J278" s="74" t="b">
        <v>1</v>
      </c>
      <c r="K278" s="71" t="s">
        <v>1105</v>
      </c>
      <c r="L278" s="71" t="s">
        <v>2941</v>
      </c>
      <c r="M278" s="76" t="s">
        <v>3152</v>
      </c>
    </row>
    <row r="279" ht="21.0" customHeight="1">
      <c r="A279" s="70">
        <v>265.0</v>
      </c>
      <c r="B279" s="71" t="s">
        <v>41</v>
      </c>
      <c r="C279" s="72" t="s">
        <v>1110</v>
      </c>
      <c r="D279" s="73" t="s">
        <v>1111</v>
      </c>
      <c r="E279" s="71" t="s">
        <v>1103</v>
      </c>
      <c r="F279" s="73"/>
      <c r="G279" s="74" t="s">
        <v>2766</v>
      </c>
      <c r="H279" s="73"/>
      <c r="I279" s="77" t="s">
        <v>2781</v>
      </c>
      <c r="J279" s="74" t="b">
        <v>1</v>
      </c>
      <c r="K279" s="71" t="s">
        <v>1112</v>
      </c>
      <c r="L279" s="71" t="s">
        <v>2941</v>
      </c>
      <c r="M279" s="76" t="s">
        <v>3153</v>
      </c>
    </row>
    <row r="280" ht="21.0" customHeight="1">
      <c r="A280" s="70">
        <v>266.0</v>
      </c>
      <c r="B280" s="71" t="s">
        <v>41</v>
      </c>
      <c r="C280" s="72" t="s">
        <v>1117</v>
      </c>
      <c r="D280" s="73" t="s">
        <v>1118</v>
      </c>
      <c r="E280" s="71" t="s">
        <v>1103</v>
      </c>
      <c r="F280" s="73"/>
      <c r="G280" s="74" t="s">
        <v>2766</v>
      </c>
      <c r="H280" s="73"/>
      <c r="I280" s="77" t="s">
        <v>2781</v>
      </c>
      <c r="J280" s="74" t="b">
        <v>1</v>
      </c>
      <c r="K280" s="71" t="s">
        <v>1119</v>
      </c>
      <c r="L280" s="71" t="s">
        <v>2941</v>
      </c>
      <c r="M280" s="76" t="s">
        <v>3154</v>
      </c>
    </row>
    <row r="281" ht="21.0" customHeight="1">
      <c r="A281" s="70">
        <v>267.0</v>
      </c>
      <c r="B281" s="71" t="s">
        <v>41</v>
      </c>
      <c r="C281" s="72" t="s">
        <v>1124</v>
      </c>
      <c r="D281" s="73" t="s">
        <v>1111</v>
      </c>
      <c r="E281" s="71" t="s">
        <v>1103</v>
      </c>
      <c r="F281" s="73"/>
      <c r="G281" s="74" t="s">
        <v>2766</v>
      </c>
      <c r="H281" s="73"/>
      <c r="I281" s="77" t="s">
        <v>2781</v>
      </c>
      <c r="J281" s="74" t="b">
        <v>1</v>
      </c>
      <c r="K281" s="71" t="s">
        <v>1125</v>
      </c>
      <c r="L281" s="71" t="s">
        <v>2941</v>
      </c>
      <c r="M281" s="76" t="s">
        <v>3155</v>
      </c>
    </row>
    <row r="282" ht="21.0" customHeight="1">
      <c r="A282" s="70">
        <v>268.0</v>
      </c>
      <c r="B282" s="71" t="s">
        <v>41</v>
      </c>
      <c r="C282" s="72" t="s">
        <v>1130</v>
      </c>
      <c r="D282" s="73" t="s">
        <v>1118</v>
      </c>
      <c r="E282" s="71" t="s">
        <v>1103</v>
      </c>
      <c r="F282" s="73"/>
      <c r="G282" s="74" t="s">
        <v>2766</v>
      </c>
      <c r="H282" s="73"/>
      <c r="I282" s="77" t="s">
        <v>2781</v>
      </c>
      <c r="J282" s="74" t="b">
        <v>1</v>
      </c>
      <c r="K282" s="71" t="s">
        <v>1131</v>
      </c>
      <c r="L282" s="71" t="s">
        <v>2941</v>
      </c>
      <c r="M282" s="76" t="s">
        <v>3156</v>
      </c>
    </row>
    <row r="283" ht="21.0" customHeight="1">
      <c r="A283" s="70">
        <v>269.0</v>
      </c>
      <c r="B283" s="71" t="s">
        <v>41</v>
      </c>
      <c r="C283" s="72" t="s">
        <v>1136</v>
      </c>
      <c r="D283" s="73" t="s">
        <v>1137</v>
      </c>
      <c r="E283" s="71" t="s">
        <v>1103</v>
      </c>
      <c r="F283" s="73"/>
      <c r="G283" s="74" t="s">
        <v>2766</v>
      </c>
      <c r="H283" s="73"/>
      <c r="I283" s="77" t="s">
        <v>2781</v>
      </c>
      <c r="J283" s="74" t="b">
        <v>1</v>
      </c>
      <c r="K283" s="71" t="s">
        <v>1138</v>
      </c>
      <c r="L283" s="71" t="s">
        <v>2941</v>
      </c>
      <c r="M283" s="76" t="s">
        <v>3157</v>
      </c>
    </row>
    <row r="284" ht="21.0" customHeight="1">
      <c r="A284" s="70">
        <v>270.0</v>
      </c>
      <c r="B284" s="71" t="s">
        <v>41</v>
      </c>
      <c r="C284" s="72" t="s">
        <v>1143</v>
      </c>
      <c r="D284" s="73" t="s">
        <v>1144</v>
      </c>
      <c r="E284" s="71" t="s">
        <v>1103</v>
      </c>
      <c r="F284" s="73"/>
      <c r="G284" s="74" t="s">
        <v>2766</v>
      </c>
      <c r="H284" s="73"/>
      <c r="I284" s="77" t="s">
        <v>2781</v>
      </c>
      <c r="J284" s="74" t="b">
        <v>1</v>
      </c>
      <c r="K284" s="71" t="s">
        <v>1145</v>
      </c>
      <c r="L284" s="71" t="s">
        <v>2941</v>
      </c>
      <c r="M284" s="76" t="s">
        <v>3158</v>
      </c>
    </row>
    <row r="285" ht="21.0" customHeight="1">
      <c r="A285" s="70">
        <v>271.0</v>
      </c>
      <c r="B285" s="71" t="s">
        <v>41</v>
      </c>
      <c r="C285" s="72" t="s">
        <v>1150</v>
      </c>
      <c r="D285" s="73" t="s">
        <v>3159</v>
      </c>
      <c r="E285" s="71" t="s">
        <v>1103</v>
      </c>
      <c r="F285" s="73"/>
      <c r="G285" s="74" t="s">
        <v>2766</v>
      </c>
      <c r="H285" s="73"/>
      <c r="I285" s="77" t="s">
        <v>2781</v>
      </c>
      <c r="J285" s="74" t="b">
        <v>1</v>
      </c>
      <c r="K285" s="71" t="s">
        <v>1152</v>
      </c>
      <c r="L285" s="71" t="s">
        <v>2941</v>
      </c>
      <c r="M285" s="76" t="s">
        <v>3160</v>
      </c>
    </row>
    <row r="286" ht="21.0" customHeight="1">
      <c r="A286" s="70">
        <v>272.0</v>
      </c>
      <c r="B286" s="71" t="s">
        <v>41</v>
      </c>
      <c r="C286" s="72" t="s">
        <v>1155</v>
      </c>
      <c r="D286" s="73" t="s">
        <v>1157</v>
      </c>
      <c r="E286" s="71" t="s">
        <v>1156</v>
      </c>
      <c r="F286" s="73"/>
      <c r="G286" s="74" t="s">
        <v>2766</v>
      </c>
      <c r="H286" s="73"/>
      <c r="I286" s="77" t="s">
        <v>2781</v>
      </c>
      <c r="J286" s="74" t="b">
        <v>1</v>
      </c>
      <c r="K286" s="71" t="s">
        <v>1158</v>
      </c>
      <c r="L286" s="71" t="s">
        <v>2941</v>
      </c>
      <c r="M286" s="76" t="s">
        <v>3161</v>
      </c>
    </row>
    <row r="287" ht="21.0" customHeight="1">
      <c r="A287" s="70">
        <v>273.0</v>
      </c>
      <c r="B287" s="71" t="s">
        <v>41</v>
      </c>
      <c r="C287" s="72" t="s">
        <v>1163</v>
      </c>
      <c r="D287" s="73" t="s">
        <v>1157</v>
      </c>
      <c r="E287" s="71" t="s">
        <v>1156</v>
      </c>
      <c r="F287" s="73"/>
      <c r="G287" s="74" t="s">
        <v>2766</v>
      </c>
      <c r="H287" s="73"/>
      <c r="I287" s="77" t="s">
        <v>2781</v>
      </c>
      <c r="J287" s="74" t="b">
        <v>1</v>
      </c>
      <c r="K287" s="71" t="s">
        <v>1164</v>
      </c>
      <c r="L287" s="71" t="s">
        <v>2941</v>
      </c>
      <c r="M287" s="76" t="s">
        <v>3162</v>
      </c>
    </row>
    <row r="288" ht="21.0" customHeight="1">
      <c r="A288" s="70">
        <v>274.0</v>
      </c>
      <c r="B288" s="71" t="s">
        <v>41</v>
      </c>
      <c r="C288" s="72" t="s">
        <v>1169</v>
      </c>
      <c r="D288" s="73" t="s">
        <v>1157</v>
      </c>
      <c r="E288" s="71" t="s">
        <v>1156</v>
      </c>
      <c r="F288" s="73"/>
      <c r="G288" s="74" t="s">
        <v>2766</v>
      </c>
      <c r="H288" s="73"/>
      <c r="I288" s="77" t="s">
        <v>2781</v>
      </c>
      <c r="J288" s="74" t="b">
        <v>1</v>
      </c>
      <c r="K288" s="71" t="s">
        <v>1170</v>
      </c>
      <c r="L288" s="71" t="s">
        <v>2941</v>
      </c>
      <c r="M288" s="76" t="s">
        <v>3163</v>
      </c>
    </row>
    <row r="289" ht="21.0" customHeight="1">
      <c r="A289" s="70">
        <v>275.0</v>
      </c>
      <c r="B289" s="71" t="s">
        <v>41</v>
      </c>
      <c r="C289" s="72" t="s">
        <v>1210</v>
      </c>
      <c r="D289" s="73" t="s">
        <v>1212</v>
      </c>
      <c r="E289" s="71" t="s">
        <v>1211</v>
      </c>
      <c r="F289" s="73"/>
      <c r="G289" s="74" t="s">
        <v>2766</v>
      </c>
      <c r="H289" s="73"/>
      <c r="I289" s="77" t="s">
        <v>2781</v>
      </c>
      <c r="J289" s="74" t="b">
        <v>1</v>
      </c>
      <c r="K289" s="71" t="s">
        <v>1213</v>
      </c>
      <c r="L289" s="71" t="s">
        <v>2941</v>
      </c>
      <c r="M289" s="76" t="s">
        <v>3164</v>
      </c>
    </row>
    <row r="290" ht="21.0" customHeight="1">
      <c r="A290" s="70">
        <v>276.0</v>
      </c>
      <c r="B290" s="71" t="s">
        <v>41</v>
      </c>
      <c r="C290" s="72" t="s">
        <v>1218</v>
      </c>
      <c r="D290" s="73" t="s">
        <v>1212</v>
      </c>
      <c r="E290" s="71" t="s">
        <v>1211</v>
      </c>
      <c r="F290" s="73"/>
      <c r="G290" s="74" t="s">
        <v>2766</v>
      </c>
      <c r="H290" s="73"/>
      <c r="I290" s="77" t="s">
        <v>2781</v>
      </c>
      <c r="J290" s="74" t="b">
        <v>1</v>
      </c>
      <c r="K290" s="71" t="s">
        <v>1219</v>
      </c>
      <c r="L290" s="71" t="s">
        <v>2941</v>
      </c>
      <c r="M290" s="76" t="s">
        <v>3165</v>
      </c>
    </row>
    <row r="291" ht="21.0" customHeight="1">
      <c r="A291" s="70">
        <v>277.0</v>
      </c>
      <c r="B291" s="71" t="s">
        <v>41</v>
      </c>
      <c r="C291" s="72" t="s">
        <v>1231</v>
      </c>
      <c r="D291" s="73" t="s">
        <v>1233</v>
      </c>
      <c r="E291" s="71" t="s">
        <v>1232</v>
      </c>
      <c r="F291" s="73"/>
      <c r="G291" s="74" t="s">
        <v>2766</v>
      </c>
      <c r="H291" s="73"/>
      <c r="I291" s="77" t="s">
        <v>2781</v>
      </c>
      <c r="J291" s="74" t="b">
        <v>1</v>
      </c>
      <c r="K291" s="71" t="s">
        <v>1234</v>
      </c>
      <c r="L291" s="71" t="s">
        <v>2941</v>
      </c>
      <c r="M291" s="76" t="s">
        <v>3166</v>
      </c>
    </row>
    <row r="292" ht="21.0" customHeight="1">
      <c r="A292" s="70">
        <v>278.0</v>
      </c>
      <c r="B292" s="71" t="s">
        <v>41</v>
      </c>
      <c r="C292" s="72" t="s">
        <v>1239</v>
      </c>
      <c r="D292" s="73" t="s">
        <v>1233</v>
      </c>
      <c r="E292" s="71" t="s">
        <v>1232</v>
      </c>
      <c r="F292" s="73"/>
      <c r="G292" s="74" t="s">
        <v>2766</v>
      </c>
      <c r="H292" s="73"/>
      <c r="I292" s="77" t="s">
        <v>2781</v>
      </c>
      <c r="J292" s="74" t="b">
        <v>1</v>
      </c>
      <c r="K292" s="71" t="s">
        <v>1240</v>
      </c>
      <c r="L292" s="71" t="s">
        <v>2941</v>
      </c>
      <c r="M292" s="76" t="s">
        <v>3167</v>
      </c>
    </row>
    <row r="293" ht="21.0" customHeight="1">
      <c r="A293" s="70">
        <v>279.0</v>
      </c>
      <c r="B293" s="71" t="s">
        <v>41</v>
      </c>
      <c r="C293" s="72" t="s">
        <v>1245</v>
      </c>
      <c r="D293" s="73" t="s">
        <v>1233</v>
      </c>
      <c r="E293" s="71" t="s">
        <v>1232</v>
      </c>
      <c r="F293" s="73"/>
      <c r="G293" s="74" t="s">
        <v>2766</v>
      </c>
      <c r="H293" s="73"/>
      <c r="I293" s="77" t="s">
        <v>2781</v>
      </c>
      <c r="J293" s="74" t="b">
        <v>1</v>
      </c>
      <c r="K293" s="71" t="s">
        <v>1246</v>
      </c>
      <c r="L293" s="71" t="s">
        <v>2941</v>
      </c>
      <c r="M293" s="76" t="s">
        <v>3168</v>
      </c>
    </row>
    <row r="294" ht="21.0" customHeight="1">
      <c r="A294" s="70">
        <v>280.0</v>
      </c>
      <c r="B294" s="71" t="s">
        <v>41</v>
      </c>
      <c r="C294" s="72" t="s">
        <v>1250</v>
      </c>
      <c r="D294" s="73" t="s">
        <v>1252</v>
      </c>
      <c r="E294" s="71" t="s">
        <v>1251</v>
      </c>
      <c r="F294" s="73"/>
      <c r="G294" s="74" t="s">
        <v>2766</v>
      </c>
      <c r="H294" s="73"/>
      <c r="I294" s="77" t="s">
        <v>2781</v>
      </c>
      <c r="J294" s="74" t="b">
        <v>1</v>
      </c>
      <c r="K294" s="71" t="s">
        <v>1253</v>
      </c>
      <c r="L294" s="71" t="s">
        <v>2941</v>
      </c>
      <c r="M294" s="76" t="s">
        <v>3169</v>
      </c>
    </row>
    <row r="295" ht="21.0" customHeight="1">
      <c r="A295" s="70">
        <v>281.0</v>
      </c>
      <c r="B295" s="71" t="s">
        <v>41</v>
      </c>
      <c r="C295" s="72" t="s">
        <v>1258</v>
      </c>
      <c r="D295" s="73" t="s">
        <v>1259</v>
      </c>
      <c r="E295" s="71" t="s">
        <v>1251</v>
      </c>
      <c r="F295" s="73"/>
      <c r="G295" s="74" t="s">
        <v>2766</v>
      </c>
      <c r="H295" s="73"/>
      <c r="I295" s="77" t="s">
        <v>2781</v>
      </c>
      <c r="J295" s="74" t="b">
        <v>1</v>
      </c>
      <c r="K295" s="71" t="s">
        <v>1260</v>
      </c>
      <c r="L295" s="71" t="s">
        <v>2941</v>
      </c>
      <c r="M295" s="76" t="s">
        <v>3170</v>
      </c>
    </row>
    <row r="296" ht="21.0" customHeight="1">
      <c r="A296" s="70">
        <v>282.0</v>
      </c>
      <c r="B296" s="71" t="s">
        <v>41</v>
      </c>
      <c r="C296" s="72" t="s">
        <v>1265</v>
      </c>
      <c r="D296" s="73" t="s">
        <v>1266</v>
      </c>
      <c r="E296" s="71" t="s">
        <v>1251</v>
      </c>
      <c r="F296" s="73"/>
      <c r="G296" s="74" t="s">
        <v>2766</v>
      </c>
      <c r="H296" s="73"/>
      <c r="I296" s="77" t="s">
        <v>2781</v>
      </c>
      <c r="J296" s="74" t="b">
        <v>1</v>
      </c>
      <c r="K296" s="71" t="s">
        <v>1267</v>
      </c>
      <c r="L296" s="71" t="s">
        <v>2941</v>
      </c>
      <c r="M296" s="76" t="s">
        <v>3171</v>
      </c>
    </row>
    <row r="297" ht="21.0" customHeight="1">
      <c r="A297" s="70">
        <v>283.0</v>
      </c>
      <c r="B297" s="71" t="s">
        <v>41</v>
      </c>
      <c r="C297" s="72" t="s">
        <v>1272</v>
      </c>
      <c r="D297" s="73" t="s">
        <v>1273</v>
      </c>
      <c r="E297" s="71" t="s">
        <v>1251</v>
      </c>
      <c r="F297" s="73"/>
      <c r="G297" s="74" t="s">
        <v>2766</v>
      </c>
      <c r="H297" s="73"/>
      <c r="I297" s="77" t="s">
        <v>2781</v>
      </c>
      <c r="J297" s="74" t="b">
        <v>1</v>
      </c>
      <c r="K297" s="71" t="s">
        <v>1274</v>
      </c>
      <c r="L297" s="71" t="s">
        <v>2941</v>
      </c>
      <c r="M297" s="76" t="s">
        <v>3172</v>
      </c>
    </row>
    <row r="298" ht="21.0" customHeight="1">
      <c r="A298" s="70">
        <v>284.0</v>
      </c>
      <c r="B298" s="71" t="s">
        <v>41</v>
      </c>
      <c r="C298" s="72" t="s">
        <v>1279</v>
      </c>
      <c r="D298" s="73" t="s">
        <v>1280</v>
      </c>
      <c r="E298" s="71" t="s">
        <v>1251</v>
      </c>
      <c r="F298" s="73"/>
      <c r="G298" s="74" t="s">
        <v>2766</v>
      </c>
      <c r="H298" s="73"/>
      <c r="I298" s="77" t="s">
        <v>2781</v>
      </c>
      <c r="J298" s="74" t="b">
        <v>1</v>
      </c>
      <c r="K298" s="71" t="s">
        <v>1281</v>
      </c>
      <c r="L298" s="71" t="s">
        <v>2941</v>
      </c>
      <c r="M298" s="76" t="s">
        <v>3173</v>
      </c>
    </row>
    <row r="299" ht="21.0" customHeight="1">
      <c r="A299" s="70">
        <v>285.0</v>
      </c>
      <c r="B299" s="71" t="s">
        <v>41</v>
      </c>
      <c r="C299" s="72" t="s">
        <v>1286</v>
      </c>
      <c r="D299" s="73" t="s">
        <v>1287</v>
      </c>
      <c r="E299" s="71" t="s">
        <v>1251</v>
      </c>
      <c r="F299" s="73"/>
      <c r="G299" s="74" t="s">
        <v>2766</v>
      </c>
      <c r="H299" s="73"/>
      <c r="I299" s="77" t="s">
        <v>2781</v>
      </c>
      <c r="J299" s="74" t="b">
        <v>1</v>
      </c>
      <c r="K299" s="71" t="s">
        <v>1288</v>
      </c>
      <c r="L299" s="71" t="s">
        <v>2941</v>
      </c>
      <c r="M299" s="76" t="s">
        <v>3174</v>
      </c>
    </row>
    <row r="300" ht="21.0" customHeight="1">
      <c r="A300" s="70">
        <v>286.0</v>
      </c>
      <c r="B300" s="71" t="s">
        <v>41</v>
      </c>
      <c r="C300" s="72" t="s">
        <v>1293</v>
      </c>
      <c r="D300" s="73" t="s">
        <v>1294</v>
      </c>
      <c r="E300" s="71" t="s">
        <v>1251</v>
      </c>
      <c r="F300" s="73"/>
      <c r="G300" s="74" t="s">
        <v>2766</v>
      </c>
      <c r="H300" s="73"/>
      <c r="I300" s="77" t="s">
        <v>2781</v>
      </c>
      <c r="J300" s="74" t="b">
        <v>1</v>
      </c>
      <c r="K300" s="71" t="s">
        <v>1295</v>
      </c>
      <c r="L300" s="71" t="s">
        <v>2941</v>
      </c>
      <c r="M300" s="76" t="s">
        <v>3175</v>
      </c>
    </row>
    <row r="301" ht="21.0" customHeight="1">
      <c r="A301" s="70">
        <v>287.0</v>
      </c>
      <c r="B301" s="71" t="s">
        <v>41</v>
      </c>
      <c r="C301" s="72" t="s">
        <v>1300</v>
      </c>
      <c r="D301" s="73" t="s">
        <v>1301</v>
      </c>
      <c r="E301" s="71" t="s">
        <v>1251</v>
      </c>
      <c r="F301" s="73"/>
      <c r="G301" s="74" t="s">
        <v>2766</v>
      </c>
      <c r="H301" s="73"/>
      <c r="I301" s="77" t="s">
        <v>2781</v>
      </c>
      <c r="J301" s="74" t="b">
        <v>1</v>
      </c>
      <c r="K301" s="71" t="s">
        <v>1302</v>
      </c>
      <c r="L301" s="71" t="s">
        <v>2941</v>
      </c>
      <c r="M301" s="76" t="s">
        <v>3176</v>
      </c>
    </row>
    <row r="302" ht="21.0" customHeight="1">
      <c r="A302" s="70">
        <v>288.0</v>
      </c>
      <c r="B302" s="71" t="s">
        <v>41</v>
      </c>
      <c r="C302" s="72" t="s">
        <v>1307</v>
      </c>
      <c r="D302" s="73" t="s">
        <v>1308</v>
      </c>
      <c r="E302" s="71" t="s">
        <v>1251</v>
      </c>
      <c r="F302" s="73"/>
      <c r="G302" s="74" t="s">
        <v>2766</v>
      </c>
      <c r="H302" s="73"/>
      <c r="I302" s="77" t="s">
        <v>2781</v>
      </c>
      <c r="J302" s="74" t="b">
        <v>1</v>
      </c>
      <c r="K302" s="71" t="s">
        <v>1309</v>
      </c>
      <c r="L302" s="71" t="s">
        <v>2941</v>
      </c>
      <c r="M302" s="76" t="s">
        <v>3177</v>
      </c>
    </row>
    <row r="303" ht="21.0" customHeight="1">
      <c r="A303" s="70">
        <v>289.0</v>
      </c>
      <c r="B303" s="71" t="s">
        <v>41</v>
      </c>
      <c r="C303" s="72" t="s">
        <v>1314</v>
      </c>
      <c r="D303" s="73" t="s">
        <v>1316</v>
      </c>
      <c r="E303" s="71" t="s">
        <v>1315</v>
      </c>
      <c r="F303" s="73"/>
      <c r="G303" s="74" t="s">
        <v>2766</v>
      </c>
      <c r="H303" s="73"/>
      <c r="I303" s="77" t="s">
        <v>2781</v>
      </c>
      <c r="J303" s="74" t="b">
        <v>1</v>
      </c>
      <c r="K303" s="71" t="s">
        <v>1317</v>
      </c>
      <c r="L303" s="71" t="s">
        <v>2941</v>
      </c>
      <c r="M303" s="76" t="s">
        <v>3178</v>
      </c>
    </row>
    <row r="304" ht="21.0" customHeight="1">
      <c r="A304" s="70">
        <v>290.0</v>
      </c>
      <c r="B304" s="71" t="s">
        <v>41</v>
      </c>
      <c r="C304" s="72" t="s">
        <v>1322</v>
      </c>
      <c r="D304" s="73" t="s">
        <v>1323</v>
      </c>
      <c r="E304" s="71" t="s">
        <v>1315</v>
      </c>
      <c r="F304" s="73"/>
      <c r="G304" s="74" t="s">
        <v>2766</v>
      </c>
      <c r="H304" s="73"/>
      <c r="I304" s="77" t="s">
        <v>2781</v>
      </c>
      <c r="J304" s="74" t="b">
        <v>1</v>
      </c>
      <c r="K304" s="71" t="s">
        <v>1324</v>
      </c>
      <c r="L304" s="71" t="s">
        <v>2941</v>
      </c>
      <c r="M304" s="76" t="s">
        <v>3179</v>
      </c>
    </row>
    <row r="305" ht="21.0" customHeight="1">
      <c r="A305" s="70">
        <v>291.0</v>
      </c>
      <c r="B305" s="71" t="s">
        <v>41</v>
      </c>
      <c r="C305" s="72" t="s">
        <v>1329</v>
      </c>
      <c r="D305" s="73" t="s">
        <v>1330</v>
      </c>
      <c r="E305" s="71" t="s">
        <v>1315</v>
      </c>
      <c r="F305" s="73"/>
      <c r="G305" s="74" t="s">
        <v>2766</v>
      </c>
      <c r="H305" s="73"/>
      <c r="I305" s="77" t="s">
        <v>2781</v>
      </c>
      <c r="J305" s="74" t="b">
        <v>1</v>
      </c>
      <c r="K305" s="71" t="s">
        <v>1331</v>
      </c>
      <c r="L305" s="71" t="s">
        <v>2941</v>
      </c>
      <c r="M305" s="76" t="s">
        <v>3180</v>
      </c>
    </row>
    <row r="306" ht="21.0" customHeight="1">
      <c r="A306" s="70">
        <v>292.0</v>
      </c>
      <c r="B306" s="71" t="s">
        <v>41</v>
      </c>
      <c r="C306" s="72" t="s">
        <v>1336</v>
      </c>
      <c r="D306" s="73" t="s">
        <v>1337</v>
      </c>
      <c r="E306" s="71" t="s">
        <v>1315</v>
      </c>
      <c r="F306" s="73"/>
      <c r="G306" s="74" t="s">
        <v>2766</v>
      </c>
      <c r="H306" s="73"/>
      <c r="I306" s="77" t="s">
        <v>2781</v>
      </c>
      <c r="J306" s="74" t="b">
        <v>1</v>
      </c>
      <c r="K306" s="71" t="s">
        <v>1338</v>
      </c>
      <c r="L306" s="71" t="s">
        <v>2941</v>
      </c>
      <c r="M306" s="76" t="s">
        <v>3181</v>
      </c>
    </row>
    <row r="307" ht="21.0" customHeight="1">
      <c r="A307" s="70">
        <v>293.0</v>
      </c>
      <c r="B307" s="71" t="s">
        <v>41</v>
      </c>
      <c r="C307" s="72" t="s">
        <v>1343</v>
      </c>
      <c r="D307" s="73" t="s">
        <v>1344</v>
      </c>
      <c r="E307" s="71" t="s">
        <v>1315</v>
      </c>
      <c r="F307" s="73"/>
      <c r="G307" s="74" t="s">
        <v>2766</v>
      </c>
      <c r="H307" s="73"/>
      <c r="I307" s="77" t="s">
        <v>2781</v>
      </c>
      <c r="J307" s="74" t="b">
        <v>1</v>
      </c>
      <c r="K307" s="71" t="s">
        <v>1345</v>
      </c>
      <c r="L307" s="71" t="s">
        <v>2941</v>
      </c>
      <c r="M307" s="76" t="s">
        <v>3182</v>
      </c>
    </row>
    <row r="308" ht="21.0" customHeight="1">
      <c r="A308" s="70">
        <v>294.0</v>
      </c>
      <c r="B308" s="71" t="s">
        <v>41</v>
      </c>
      <c r="C308" s="72" t="s">
        <v>1350</v>
      </c>
      <c r="D308" s="73" t="s">
        <v>1351</v>
      </c>
      <c r="E308" s="71" t="s">
        <v>1315</v>
      </c>
      <c r="F308" s="73"/>
      <c r="G308" s="74" t="s">
        <v>2766</v>
      </c>
      <c r="H308" s="73"/>
      <c r="I308" s="77" t="s">
        <v>2781</v>
      </c>
      <c r="J308" s="74" t="b">
        <v>1</v>
      </c>
      <c r="K308" s="71" t="s">
        <v>1352</v>
      </c>
      <c r="L308" s="71" t="s">
        <v>2941</v>
      </c>
      <c r="M308" s="76" t="s">
        <v>3183</v>
      </c>
    </row>
    <row r="309" ht="21.0" customHeight="1">
      <c r="A309" s="70">
        <v>295.0</v>
      </c>
      <c r="B309" s="71" t="s">
        <v>41</v>
      </c>
      <c r="C309" s="72" t="s">
        <v>1357</v>
      </c>
      <c r="D309" s="73" t="s">
        <v>1358</v>
      </c>
      <c r="E309" s="71" t="s">
        <v>1315</v>
      </c>
      <c r="F309" s="73"/>
      <c r="G309" s="74" t="s">
        <v>2766</v>
      </c>
      <c r="H309" s="73"/>
      <c r="I309" s="77" t="s">
        <v>2781</v>
      </c>
      <c r="J309" s="74" t="b">
        <v>1</v>
      </c>
      <c r="K309" s="71" t="s">
        <v>1359</v>
      </c>
      <c r="L309" s="71" t="s">
        <v>2941</v>
      </c>
      <c r="M309" s="76" t="s">
        <v>3184</v>
      </c>
    </row>
    <row r="310" ht="21.0" customHeight="1">
      <c r="A310" s="70">
        <v>296.0</v>
      </c>
      <c r="B310" s="71" t="s">
        <v>41</v>
      </c>
      <c r="C310" s="72" t="s">
        <v>1364</v>
      </c>
      <c r="D310" s="73" t="s">
        <v>1365</v>
      </c>
      <c r="E310" s="71" t="s">
        <v>1315</v>
      </c>
      <c r="F310" s="73"/>
      <c r="G310" s="74" t="s">
        <v>2766</v>
      </c>
      <c r="H310" s="73"/>
      <c r="I310" s="77" t="s">
        <v>2781</v>
      </c>
      <c r="J310" s="74" t="b">
        <v>1</v>
      </c>
      <c r="K310" s="71" t="s">
        <v>1366</v>
      </c>
      <c r="L310" s="71" t="s">
        <v>2941</v>
      </c>
      <c r="M310" s="76" t="s">
        <v>3185</v>
      </c>
    </row>
    <row r="311" ht="21.0" customHeight="1">
      <c r="A311" s="70">
        <v>297.0</v>
      </c>
      <c r="B311" s="71" t="s">
        <v>41</v>
      </c>
      <c r="C311" s="72" t="s">
        <v>1371</v>
      </c>
      <c r="D311" s="73" t="s">
        <v>1372</v>
      </c>
      <c r="E311" s="71" t="s">
        <v>1315</v>
      </c>
      <c r="F311" s="73"/>
      <c r="G311" s="74" t="s">
        <v>2766</v>
      </c>
      <c r="H311" s="73"/>
      <c r="I311" s="77" t="s">
        <v>2781</v>
      </c>
      <c r="J311" s="74" t="b">
        <v>1</v>
      </c>
      <c r="K311" s="71" t="s">
        <v>1373</v>
      </c>
      <c r="L311" s="71" t="s">
        <v>2941</v>
      </c>
      <c r="M311" s="76" t="s">
        <v>3186</v>
      </c>
    </row>
    <row r="312" ht="21.0" customHeight="1">
      <c r="A312" s="70">
        <v>298.0</v>
      </c>
      <c r="B312" s="71" t="s">
        <v>41</v>
      </c>
      <c r="C312" s="72" t="s">
        <v>1386</v>
      </c>
      <c r="D312" s="73" t="s">
        <v>1388</v>
      </c>
      <c r="E312" s="71" t="s">
        <v>1387</v>
      </c>
      <c r="F312" s="73"/>
      <c r="G312" s="74" t="s">
        <v>2766</v>
      </c>
      <c r="H312" s="73"/>
      <c r="I312" s="77" t="s">
        <v>2781</v>
      </c>
      <c r="J312" s="74" t="b">
        <v>1</v>
      </c>
      <c r="K312" s="71" t="s">
        <v>1389</v>
      </c>
      <c r="L312" s="71" t="s">
        <v>2941</v>
      </c>
      <c r="M312" s="76" t="s">
        <v>3187</v>
      </c>
    </row>
    <row r="313" ht="21.0" customHeight="1">
      <c r="A313" s="70">
        <v>299.0</v>
      </c>
      <c r="B313" s="71" t="s">
        <v>41</v>
      </c>
      <c r="C313" s="72" t="s">
        <v>1395</v>
      </c>
      <c r="D313" s="73" t="s">
        <v>1396</v>
      </c>
      <c r="E313" s="71" t="s">
        <v>1387</v>
      </c>
      <c r="F313" s="73"/>
      <c r="G313" s="74" t="s">
        <v>2766</v>
      </c>
      <c r="H313" s="73"/>
      <c r="I313" s="77" t="s">
        <v>2781</v>
      </c>
      <c r="J313" s="74" t="b">
        <v>1</v>
      </c>
      <c r="K313" s="71" t="s">
        <v>1397</v>
      </c>
      <c r="L313" s="71" t="s">
        <v>2941</v>
      </c>
      <c r="M313" s="76" t="s">
        <v>3188</v>
      </c>
    </row>
    <row r="314" ht="21.0" customHeight="1">
      <c r="A314" s="70">
        <v>300.0</v>
      </c>
      <c r="B314" s="71" t="s">
        <v>41</v>
      </c>
      <c r="C314" s="72" t="s">
        <v>1402</v>
      </c>
      <c r="D314" s="73" t="s">
        <v>1403</v>
      </c>
      <c r="E314" s="71" t="s">
        <v>1387</v>
      </c>
      <c r="F314" s="73"/>
      <c r="G314" s="74" t="s">
        <v>2766</v>
      </c>
      <c r="H314" s="73"/>
      <c r="I314" s="77" t="s">
        <v>2781</v>
      </c>
      <c r="J314" s="74" t="b">
        <v>1</v>
      </c>
      <c r="K314" s="71" t="s">
        <v>1404</v>
      </c>
      <c r="L314" s="71" t="s">
        <v>2941</v>
      </c>
      <c r="M314" s="76" t="s">
        <v>3189</v>
      </c>
    </row>
    <row r="315" ht="21.0" customHeight="1">
      <c r="A315" s="70">
        <v>301.0</v>
      </c>
      <c r="B315" s="71" t="s">
        <v>41</v>
      </c>
      <c r="C315" s="72" t="s">
        <v>1409</v>
      </c>
      <c r="D315" s="73" t="s">
        <v>1410</v>
      </c>
      <c r="E315" s="71" t="s">
        <v>1387</v>
      </c>
      <c r="F315" s="73"/>
      <c r="G315" s="74" t="s">
        <v>2766</v>
      </c>
      <c r="H315" s="73"/>
      <c r="I315" s="77" t="s">
        <v>2781</v>
      </c>
      <c r="J315" s="74" t="b">
        <v>1</v>
      </c>
      <c r="K315" s="71" t="s">
        <v>1411</v>
      </c>
      <c r="L315" s="71" t="s">
        <v>2941</v>
      </c>
      <c r="M315" s="76" t="s">
        <v>3190</v>
      </c>
    </row>
    <row r="316" ht="21.0" customHeight="1">
      <c r="A316" s="70">
        <v>302.0</v>
      </c>
      <c r="B316" s="71" t="s">
        <v>41</v>
      </c>
      <c r="C316" s="72" t="s">
        <v>1416</v>
      </c>
      <c r="D316" s="73" t="s">
        <v>1417</v>
      </c>
      <c r="E316" s="71" t="s">
        <v>1387</v>
      </c>
      <c r="F316" s="73"/>
      <c r="G316" s="74" t="s">
        <v>2766</v>
      </c>
      <c r="H316" s="73"/>
      <c r="I316" s="77" t="s">
        <v>2781</v>
      </c>
      <c r="J316" s="74" t="b">
        <v>1</v>
      </c>
      <c r="K316" s="71" t="s">
        <v>1418</v>
      </c>
      <c r="L316" s="71" t="s">
        <v>2941</v>
      </c>
      <c r="M316" s="76" t="s">
        <v>3191</v>
      </c>
    </row>
    <row r="317" ht="21.0" customHeight="1">
      <c r="A317" s="70">
        <v>303.0</v>
      </c>
      <c r="B317" s="71" t="s">
        <v>41</v>
      </c>
      <c r="C317" s="72" t="s">
        <v>1423</v>
      </c>
      <c r="D317" s="73" t="s">
        <v>1424</v>
      </c>
      <c r="E317" s="71" t="s">
        <v>1387</v>
      </c>
      <c r="F317" s="73"/>
      <c r="G317" s="74" t="s">
        <v>2766</v>
      </c>
      <c r="H317" s="73"/>
      <c r="I317" s="77" t="s">
        <v>2781</v>
      </c>
      <c r="J317" s="74" t="b">
        <v>1</v>
      </c>
      <c r="K317" s="71" t="s">
        <v>1425</v>
      </c>
      <c r="L317" s="71" t="s">
        <v>2941</v>
      </c>
      <c r="M317" s="76" t="s">
        <v>3192</v>
      </c>
    </row>
    <row r="318" ht="21.0" customHeight="1">
      <c r="A318" s="70">
        <v>304.0</v>
      </c>
      <c r="B318" s="71" t="s">
        <v>41</v>
      </c>
      <c r="C318" s="72" t="s">
        <v>1430</v>
      </c>
      <c r="D318" s="73" t="s">
        <v>1431</v>
      </c>
      <c r="E318" s="71" t="s">
        <v>1387</v>
      </c>
      <c r="F318" s="73"/>
      <c r="G318" s="74" t="s">
        <v>2766</v>
      </c>
      <c r="H318" s="73"/>
      <c r="I318" s="77" t="s">
        <v>2781</v>
      </c>
      <c r="J318" s="74" t="b">
        <v>1</v>
      </c>
      <c r="K318" s="71" t="s">
        <v>1432</v>
      </c>
      <c r="L318" s="71" t="s">
        <v>2941</v>
      </c>
      <c r="M318" s="76" t="s">
        <v>3193</v>
      </c>
    </row>
    <row r="319" ht="21.0" customHeight="1">
      <c r="A319" s="70">
        <v>305.0</v>
      </c>
      <c r="B319" s="71" t="s">
        <v>41</v>
      </c>
      <c r="C319" s="72" t="s">
        <v>1437</v>
      </c>
      <c r="D319" s="73" t="s">
        <v>1438</v>
      </c>
      <c r="E319" s="71" t="s">
        <v>1387</v>
      </c>
      <c r="F319" s="73"/>
      <c r="G319" s="74" t="s">
        <v>2766</v>
      </c>
      <c r="H319" s="73"/>
      <c r="I319" s="77" t="s">
        <v>2781</v>
      </c>
      <c r="J319" s="74" t="b">
        <v>1</v>
      </c>
      <c r="K319" s="71" t="s">
        <v>1439</v>
      </c>
      <c r="L319" s="71" t="s">
        <v>2941</v>
      </c>
      <c r="M319" s="76" t="s">
        <v>3194</v>
      </c>
    </row>
    <row r="320" ht="21.0" customHeight="1">
      <c r="A320" s="70">
        <v>306.0</v>
      </c>
      <c r="B320" s="71" t="s">
        <v>41</v>
      </c>
      <c r="C320" s="81" t="s">
        <v>1444</v>
      </c>
      <c r="D320" s="73" t="s">
        <v>1445</v>
      </c>
      <c r="E320" s="71" t="s">
        <v>1387</v>
      </c>
      <c r="F320" s="73"/>
      <c r="G320" s="74" t="s">
        <v>2766</v>
      </c>
      <c r="H320" s="73" t="s">
        <v>3195</v>
      </c>
      <c r="I320" s="77" t="s">
        <v>2781</v>
      </c>
      <c r="J320" s="74" t="b">
        <v>1</v>
      </c>
      <c r="K320" s="71" t="s">
        <v>1446</v>
      </c>
      <c r="L320" s="71" t="s">
        <v>2941</v>
      </c>
      <c r="M320" s="76" t="s">
        <v>3196</v>
      </c>
    </row>
    <row r="321" ht="21.0" customHeight="1">
      <c r="A321" s="70">
        <v>307.0</v>
      </c>
      <c r="B321" s="71" t="s">
        <v>41</v>
      </c>
      <c r="C321" s="81" t="s">
        <v>1451</v>
      </c>
      <c r="D321" s="73" t="s">
        <v>1452</v>
      </c>
      <c r="E321" s="71" t="s">
        <v>1387</v>
      </c>
      <c r="F321" s="73"/>
      <c r="G321" s="74" t="s">
        <v>2766</v>
      </c>
      <c r="H321" s="73" t="s">
        <v>3195</v>
      </c>
      <c r="I321" s="77" t="s">
        <v>2781</v>
      </c>
      <c r="J321" s="74" t="b">
        <v>1</v>
      </c>
      <c r="K321" s="71" t="s">
        <v>1453</v>
      </c>
      <c r="L321" s="71" t="s">
        <v>2941</v>
      </c>
      <c r="M321" s="76" t="s">
        <v>3197</v>
      </c>
    </row>
    <row r="322" ht="21.0" customHeight="1">
      <c r="A322" s="70">
        <v>308.0</v>
      </c>
      <c r="B322" s="71" t="s">
        <v>41</v>
      </c>
      <c r="C322" s="81" t="s">
        <v>1458</v>
      </c>
      <c r="D322" s="73" t="s">
        <v>1459</v>
      </c>
      <c r="E322" s="71" t="s">
        <v>1387</v>
      </c>
      <c r="F322" s="73"/>
      <c r="G322" s="74" t="s">
        <v>2766</v>
      </c>
      <c r="H322" s="73" t="s">
        <v>3195</v>
      </c>
      <c r="I322" s="77" t="s">
        <v>2781</v>
      </c>
      <c r="J322" s="74" t="b">
        <v>1</v>
      </c>
      <c r="K322" s="71" t="s">
        <v>1460</v>
      </c>
      <c r="L322" s="71" t="s">
        <v>2941</v>
      </c>
      <c r="M322" s="76" t="s">
        <v>3198</v>
      </c>
    </row>
    <row r="323" ht="21.0" customHeight="1">
      <c r="A323" s="70">
        <v>309.0</v>
      </c>
      <c r="B323" s="71" t="s">
        <v>41</v>
      </c>
      <c r="C323" s="81" t="s">
        <v>1465</v>
      </c>
      <c r="D323" s="73" t="s">
        <v>1466</v>
      </c>
      <c r="E323" s="71" t="s">
        <v>1387</v>
      </c>
      <c r="F323" s="73"/>
      <c r="G323" s="74" t="s">
        <v>2766</v>
      </c>
      <c r="H323" s="73" t="s">
        <v>3195</v>
      </c>
      <c r="I323" s="77" t="s">
        <v>2781</v>
      </c>
      <c r="J323" s="74" t="b">
        <v>1</v>
      </c>
      <c r="K323" s="71" t="s">
        <v>1467</v>
      </c>
      <c r="L323" s="71" t="s">
        <v>2941</v>
      </c>
      <c r="M323" s="76" t="s">
        <v>3199</v>
      </c>
    </row>
    <row r="324" ht="21.0" customHeight="1">
      <c r="A324" s="70">
        <v>310.0</v>
      </c>
      <c r="B324" s="71" t="s">
        <v>41</v>
      </c>
      <c r="C324" s="81" t="s">
        <v>1471</v>
      </c>
      <c r="D324" s="73" t="s">
        <v>1472</v>
      </c>
      <c r="E324" s="71" t="s">
        <v>1387</v>
      </c>
      <c r="F324" s="73"/>
      <c r="G324" s="74" t="s">
        <v>2766</v>
      </c>
      <c r="H324" s="73" t="s">
        <v>3195</v>
      </c>
      <c r="I324" s="77" t="s">
        <v>2781</v>
      </c>
      <c r="J324" s="74" t="b">
        <v>1</v>
      </c>
      <c r="K324" s="71" t="s">
        <v>1473</v>
      </c>
      <c r="L324" s="71" t="s">
        <v>2941</v>
      </c>
      <c r="M324" s="76" t="s">
        <v>3200</v>
      </c>
    </row>
    <row r="325" ht="21.0" customHeight="1">
      <c r="A325" s="70">
        <v>311.0</v>
      </c>
      <c r="B325" s="71" t="s">
        <v>41</v>
      </c>
      <c r="C325" s="81" t="s">
        <v>1477</v>
      </c>
      <c r="D325" s="73" t="s">
        <v>1478</v>
      </c>
      <c r="E325" s="71" t="s">
        <v>1387</v>
      </c>
      <c r="F325" s="73"/>
      <c r="G325" s="74" t="s">
        <v>2766</v>
      </c>
      <c r="H325" s="73" t="s">
        <v>3195</v>
      </c>
      <c r="I325" s="77" t="s">
        <v>2781</v>
      </c>
      <c r="J325" s="74" t="b">
        <v>1</v>
      </c>
      <c r="K325" s="71" t="s">
        <v>1479</v>
      </c>
      <c r="L325" s="71" t="s">
        <v>2941</v>
      </c>
      <c r="M325" s="76" t="s">
        <v>3201</v>
      </c>
    </row>
    <row r="326" ht="21.0" customHeight="1">
      <c r="A326" s="70">
        <v>312.0</v>
      </c>
      <c r="B326" s="71" t="s">
        <v>41</v>
      </c>
      <c r="C326" s="81" t="s">
        <v>1484</v>
      </c>
      <c r="D326" s="73" t="s">
        <v>1485</v>
      </c>
      <c r="E326" s="71" t="s">
        <v>1387</v>
      </c>
      <c r="F326" s="73"/>
      <c r="G326" s="74" t="s">
        <v>2766</v>
      </c>
      <c r="H326" s="73" t="s">
        <v>3195</v>
      </c>
      <c r="I326" s="77" t="s">
        <v>2781</v>
      </c>
      <c r="J326" s="74" t="b">
        <v>1</v>
      </c>
      <c r="K326" s="71" t="s">
        <v>1486</v>
      </c>
      <c r="L326" s="71" t="s">
        <v>2941</v>
      </c>
      <c r="M326" s="76" t="s">
        <v>3202</v>
      </c>
    </row>
    <row r="327" ht="21.0" customHeight="1">
      <c r="A327" s="70">
        <v>313.0</v>
      </c>
      <c r="B327" s="71" t="s">
        <v>41</v>
      </c>
      <c r="C327" s="81" t="s">
        <v>1491</v>
      </c>
      <c r="D327" s="73" t="s">
        <v>1492</v>
      </c>
      <c r="E327" s="71" t="s">
        <v>1387</v>
      </c>
      <c r="F327" s="73"/>
      <c r="G327" s="74" t="s">
        <v>2766</v>
      </c>
      <c r="H327" s="73" t="s">
        <v>3195</v>
      </c>
      <c r="I327" s="77" t="s">
        <v>2781</v>
      </c>
      <c r="J327" s="74" t="b">
        <v>1</v>
      </c>
      <c r="K327" s="71" t="s">
        <v>1493</v>
      </c>
      <c r="L327" s="71" t="s">
        <v>2941</v>
      </c>
      <c r="M327" s="76" t="s">
        <v>3203</v>
      </c>
    </row>
    <row r="328" ht="21.0" customHeight="1">
      <c r="A328" s="70">
        <v>314.0</v>
      </c>
      <c r="B328" s="71" t="s">
        <v>41</v>
      </c>
      <c r="C328" s="72" t="s">
        <v>1498</v>
      </c>
      <c r="D328" s="73" t="s">
        <v>1500</v>
      </c>
      <c r="E328" s="71" t="s">
        <v>1499</v>
      </c>
      <c r="F328" s="73"/>
      <c r="G328" s="74" t="s">
        <v>2766</v>
      </c>
      <c r="H328" s="73"/>
      <c r="I328" s="77" t="s">
        <v>2781</v>
      </c>
      <c r="J328" s="74" t="b">
        <v>1</v>
      </c>
      <c r="K328" s="71" t="s">
        <v>1501</v>
      </c>
      <c r="L328" s="71" t="s">
        <v>2941</v>
      </c>
      <c r="M328" s="76" t="s">
        <v>3204</v>
      </c>
    </row>
    <row r="329" ht="21.0" customHeight="1">
      <c r="A329" s="70">
        <v>315.0</v>
      </c>
      <c r="B329" s="71" t="s">
        <v>41</v>
      </c>
      <c r="C329" s="72" t="s">
        <v>1506</v>
      </c>
      <c r="D329" s="73" t="s">
        <v>1507</v>
      </c>
      <c r="E329" s="71" t="s">
        <v>1499</v>
      </c>
      <c r="F329" s="73"/>
      <c r="G329" s="74" t="s">
        <v>2766</v>
      </c>
      <c r="H329" s="73"/>
      <c r="I329" s="77" t="s">
        <v>2781</v>
      </c>
      <c r="J329" s="74" t="b">
        <v>1</v>
      </c>
      <c r="K329" s="71" t="s">
        <v>1508</v>
      </c>
      <c r="L329" s="71" t="s">
        <v>2941</v>
      </c>
      <c r="M329" s="76" t="s">
        <v>3205</v>
      </c>
    </row>
    <row r="330" ht="21.0" customHeight="1">
      <c r="A330" s="70">
        <v>316.0</v>
      </c>
      <c r="B330" s="71" t="s">
        <v>47</v>
      </c>
      <c r="C330" s="72" t="s">
        <v>2336</v>
      </c>
      <c r="D330" s="73" t="s">
        <v>2338</v>
      </c>
      <c r="E330" s="71" t="s">
        <v>2337</v>
      </c>
      <c r="F330" s="73"/>
      <c r="G330" s="74" t="s">
        <v>2766</v>
      </c>
      <c r="H330" s="73"/>
      <c r="I330" s="77" t="s">
        <v>2781</v>
      </c>
      <c r="J330" s="74" t="b">
        <v>1</v>
      </c>
      <c r="K330" s="71" t="s">
        <v>2339</v>
      </c>
      <c r="L330" s="71" t="s">
        <v>2941</v>
      </c>
      <c r="M330" s="76" t="s">
        <v>3206</v>
      </c>
    </row>
    <row r="331" ht="21.0" customHeight="1">
      <c r="A331" s="70">
        <v>317.0</v>
      </c>
      <c r="B331" s="71" t="s">
        <v>47</v>
      </c>
      <c r="C331" s="72" t="s">
        <v>2342</v>
      </c>
      <c r="D331" s="73" t="s">
        <v>2338</v>
      </c>
      <c r="E331" s="71" t="s">
        <v>2337</v>
      </c>
      <c r="F331" s="73"/>
      <c r="G331" s="74" t="s">
        <v>2766</v>
      </c>
      <c r="H331" s="73"/>
      <c r="I331" s="77" t="s">
        <v>2781</v>
      </c>
      <c r="J331" s="74" t="b">
        <v>1</v>
      </c>
      <c r="K331" s="71" t="s">
        <v>2343</v>
      </c>
      <c r="L331" s="71" t="s">
        <v>2941</v>
      </c>
      <c r="M331" s="76" t="s">
        <v>3207</v>
      </c>
    </row>
    <row r="332" ht="21.0" customHeight="1">
      <c r="A332" s="70">
        <v>318.0</v>
      </c>
      <c r="B332" s="71" t="s">
        <v>47</v>
      </c>
      <c r="C332" s="72" t="s">
        <v>2346</v>
      </c>
      <c r="D332" s="73" t="s">
        <v>2338</v>
      </c>
      <c r="E332" s="71" t="s">
        <v>2337</v>
      </c>
      <c r="F332" s="73"/>
      <c r="G332" s="74" t="s">
        <v>2766</v>
      </c>
      <c r="H332" s="73"/>
      <c r="I332" s="77" t="s">
        <v>2781</v>
      </c>
      <c r="J332" s="74" t="b">
        <v>1</v>
      </c>
      <c r="K332" s="71" t="s">
        <v>2347</v>
      </c>
      <c r="L332" s="71" t="s">
        <v>2941</v>
      </c>
      <c r="M332" s="76" t="s">
        <v>3208</v>
      </c>
    </row>
    <row r="333" ht="21.0" customHeight="1">
      <c r="A333" s="70">
        <v>319.0</v>
      </c>
      <c r="B333" s="71" t="s">
        <v>45</v>
      </c>
      <c r="C333" s="72" t="s">
        <v>2202</v>
      </c>
      <c r="D333" s="73" t="s">
        <v>2204</v>
      </c>
      <c r="E333" s="71" t="s">
        <v>2203</v>
      </c>
      <c r="F333" s="73"/>
      <c r="G333" s="74" t="s">
        <v>2766</v>
      </c>
      <c r="H333" s="73"/>
      <c r="I333" s="77" t="s">
        <v>2781</v>
      </c>
      <c r="J333" s="74" t="b">
        <v>1</v>
      </c>
      <c r="K333" s="71" t="s">
        <v>2205</v>
      </c>
      <c r="L333" s="71" t="s">
        <v>2941</v>
      </c>
      <c r="M333" s="76" t="s">
        <v>3209</v>
      </c>
    </row>
    <row r="334" ht="21.0" customHeight="1">
      <c r="A334" s="70">
        <v>320.0</v>
      </c>
      <c r="B334" s="71" t="s">
        <v>45</v>
      </c>
      <c r="C334" s="72" t="s">
        <v>2210</v>
      </c>
      <c r="D334" s="73" t="s">
        <v>2204</v>
      </c>
      <c r="E334" s="71" t="s">
        <v>2203</v>
      </c>
      <c r="F334" s="73"/>
      <c r="G334" s="74" t="s">
        <v>2766</v>
      </c>
      <c r="H334" s="73"/>
      <c r="I334" s="77" t="s">
        <v>2781</v>
      </c>
      <c r="J334" s="74" t="b">
        <v>1</v>
      </c>
      <c r="K334" s="71" t="s">
        <v>2211</v>
      </c>
      <c r="L334" s="71" t="s">
        <v>2941</v>
      </c>
      <c r="M334" s="76" t="s">
        <v>3210</v>
      </c>
    </row>
    <row r="335" ht="21.0" customHeight="1">
      <c r="A335" s="70">
        <v>321.0</v>
      </c>
      <c r="B335" s="71" t="s">
        <v>45</v>
      </c>
      <c r="C335" s="72" t="s">
        <v>2216</v>
      </c>
      <c r="D335" s="73" t="s">
        <v>2204</v>
      </c>
      <c r="E335" s="71" t="s">
        <v>2203</v>
      </c>
      <c r="F335" s="73"/>
      <c r="G335" s="74" t="s">
        <v>2766</v>
      </c>
      <c r="H335" s="73"/>
      <c r="I335" s="77" t="s">
        <v>2781</v>
      </c>
      <c r="J335" s="74" t="b">
        <v>1</v>
      </c>
      <c r="K335" s="71" t="s">
        <v>2217</v>
      </c>
      <c r="L335" s="71" t="s">
        <v>2941</v>
      </c>
      <c r="M335" s="76" t="s">
        <v>3211</v>
      </c>
    </row>
    <row r="336" ht="21.0" customHeight="1">
      <c r="A336" s="70">
        <v>322.0</v>
      </c>
      <c r="B336" s="71" t="s">
        <v>45</v>
      </c>
      <c r="C336" s="72" t="s">
        <v>2222</v>
      </c>
      <c r="D336" s="73" t="s">
        <v>2204</v>
      </c>
      <c r="E336" s="71" t="s">
        <v>2203</v>
      </c>
      <c r="F336" s="73"/>
      <c r="G336" s="74" t="s">
        <v>2766</v>
      </c>
      <c r="H336" s="73"/>
      <c r="I336" s="77" t="s">
        <v>2781</v>
      </c>
      <c r="J336" s="74" t="b">
        <v>1</v>
      </c>
      <c r="K336" s="71" t="s">
        <v>2223</v>
      </c>
      <c r="L336" s="71" t="s">
        <v>2941</v>
      </c>
      <c r="M336" s="76" t="s">
        <v>3212</v>
      </c>
    </row>
    <row r="337" ht="21.0" customHeight="1">
      <c r="A337" s="70">
        <v>323.0</v>
      </c>
      <c r="B337" s="71" t="s">
        <v>45</v>
      </c>
      <c r="C337" s="72" t="s">
        <v>2228</v>
      </c>
      <c r="D337" s="73" t="s">
        <v>2204</v>
      </c>
      <c r="E337" s="71" t="s">
        <v>2203</v>
      </c>
      <c r="F337" s="73"/>
      <c r="G337" s="74" t="s">
        <v>2766</v>
      </c>
      <c r="H337" s="73"/>
      <c r="I337" s="77" t="s">
        <v>2781</v>
      </c>
      <c r="J337" s="74" t="b">
        <v>1</v>
      </c>
      <c r="K337" s="71" t="s">
        <v>2229</v>
      </c>
      <c r="L337" s="71" t="s">
        <v>2941</v>
      </c>
      <c r="M337" s="76" t="s">
        <v>3213</v>
      </c>
    </row>
    <row r="338" ht="21.0" customHeight="1">
      <c r="A338" s="70">
        <v>324.0</v>
      </c>
      <c r="B338" s="71" t="s">
        <v>45</v>
      </c>
      <c r="C338" s="72" t="s">
        <v>2234</v>
      </c>
      <c r="D338" s="73" t="s">
        <v>2204</v>
      </c>
      <c r="E338" s="71" t="s">
        <v>2203</v>
      </c>
      <c r="F338" s="73"/>
      <c r="G338" s="74" t="s">
        <v>2766</v>
      </c>
      <c r="H338" s="73"/>
      <c r="I338" s="77" t="s">
        <v>2781</v>
      </c>
      <c r="J338" s="74" t="b">
        <v>1</v>
      </c>
      <c r="K338" s="71" t="s">
        <v>2235</v>
      </c>
      <c r="L338" s="71" t="s">
        <v>2941</v>
      </c>
      <c r="M338" s="76" t="s">
        <v>3214</v>
      </c>
    </row>
    <row r="339" ht="21.0" customHeight="1">
      <c r="A339" s="70">
        <v>325.0</v>
      </c>
      <c r="B339" s="71" t="s">
        <v>45</v>
      </c>
      <c r="C339" s="72" t="s">
        <v>2269</v>
      </c>
      <c r="D339" s="73" t="s">
        <v>2271</v>
      </c>
      <c r="E339" s="71" t="s">
        <v>2270</v>
      </c>
      <c r="F339" s="73"/>
      <c r="G339" s="74" t="s">
        <v>2766</v>
      </c>
      <c r="H339" s="73"/>
      <c r="I339" s="77" t="s">
        <v>2781</v>
      </c>
      <c r="J339" s="74" t="b">
        <v>1</v>
      </c>
      <c r="K339" s="71" t="s">
        <v>2272</v>
      </c>
      <c r="L339" s="71" t="s">
        <v>2941</v>
      </c>
      <c r="M339" s="76" t="s">
        <v>3215</v>
      </c>
    </row>
    <row r="340" ht="21.0" customHeight="1">
      <c r="A340" s="70">
        <v>326.0</v>
      </c>
      <c r="B340" s="71" t="s">
        <v>45</v>
      </c>
      <c r="C340" s="72" t="s">
        <v>2278</v>
      </c>
      <c r="D340" s="73" t="s">
        <v>2271</v>
      </c>
      <c r="E340" s="71" t="s">
        <v>2270</v>
      </c>
      <c r="F340" s="73"/>
      <c r="G340" s="74" t="s">
        <v>2766</v>
      </c>
      <c r="H340" s="73"/>
      <c r="I340" s="77" t="s">
        <v>2781</v>
      </c>
      <c r="J340" s="74" t="b">
        <v>1</v>
      </c>
      <c r="K340" s="71" t="s">
        <v>2279</v>
      </c>
      <c r="L340" s="71" t="s">
        <v>2941</v>
      </c>
      <c r="M340" s="76" t="s">
        <v>3216</v>
      </c>
    </row>
    <row r="341" ht="21.0" customHeight="1">
      <c r="A341" s="70">
        <v>327.0</v>
      </c>
      <c r="B341" s="71" t="s">
        <v>45</v>
      </c>
      <c r="C341" s="72" t="s">
        <v>2293</v>
      </c>
      <c r="D341" s="73" t="s">
        <v>2295</v>
      </c>
      <c r="E341" s="71" t="s">
        <v>2294</v>
      </c>
      <c r="F341" s="73"/>
      <c r="G341" s="74" t="s">
        <v>2766</v>
      </c>
      <c r="H341" s="73"/>
      <c r="I341" s="77" t="s">
        <v>2781</v>
      </c>
      <c r="J341" s="74" t="b">
        <v>1</v>
      </c>
      <c r="K341" s="71" t="s">
        <v>2296</v>
      </c>
      <c r="L341" s="71" t="s">
        <v>2941</v>
      </c>
      <c r="M341" s="76" t="s">
        <v>3217</v>
      </c>
    </row>
    <row r="342" ht="21.0" customHeight="1">
      <c r="A342" s="70">
        <v>328.0</v>
      </c>
      <c r="B342" s="71" t="s">
        <v>45</v>
      </c>
      <c r="C342" s="72" t="s">
        <v>2302</v>
      </c>
      <c r="D342" s="73" t="s">
        <v>2295</v>
      </c>
      <c r="E342" s="71" t="s">
        <v>2294</v>
      </c>
      <c r="F342" s="73"/>
      <c r="G342" s="74" t="s">
        <v>2766</v>
      </c>
      <c r="H342" s="73"/>
      <c r="I342" s="77" t="s">
        <v>2781</v>
      </c>
      <c r="J342" s="74" t="b">
        <v>1</v>
      </c>
      <c r="K342" s="71" t="s">
        <v>2303</v>
      </c>
      <c r="L342" s="71" t="s">
        <v>2941</v>
      </c>
      <c r="M342" s="76" t="s">
        <v>3218</v>
      </c>
    </row>
    <row r="343" ht="21.0" customHeight="1">
      <c r="A343" s="70">
        <v>329.0</v>
      </c>
      <c r="B343" s="71" t="s">
        <v>45</v>
      </c>
      <c r="C343" s="72" t="s">
        <v>2309</v>
      </c>
      <c r="D343" s="73" t="s">
        <v>2311</v>
      </c>
      <c r="E343" s="71" t="s">
        <v>2310</v>
      </c>
      <c r="F343" s="73"/>
      <c r="G343" s="74" t="s">
        <v>2766</v>
      </c>
      <c r="H343" s="73"/>
      <c r="I343" s="77" t="s">
        <v>2781</v>
      </c>
      <c r="J343" s="74" t="b">
        <v>1</v>
      </c>
      <c r="K343" s="71" t="s">
        <v>2312</v>
      </c>
      <c r="L343" s="71" t="s">
        <v>2941</v>
      </c>
      <c r="M343" s="76" t="s">
        <v>3219</v>
      </c>
    </row>
    <row r="344" ht="21.0" customHeight="1">
      <c r="A344" s="70">
        <v>330.0</v>
      </c>
      <c r="B344" s="71" t="s">
        <v>45</v>
      </c>
      <c r="C344" s="72" t="s">
        <v>2317</v>
      </c>
      <c r="D344" s="73" t="s">
        <v>461</v>
      </c>
      <c r="E344" s="71" t="s">
        <v>2310</v>
      </c>
      <c r="F344" s="73"/>
      <c r="G344" s="74" t="s">
        <v>2766</v>
      </c>
      <c r="H344" s="73"/>
      <c r="I344" s="77" t="s">
        <v>2781</v>
      </c>
      <c r="J344" s="74" t="b">
        <v>1</v>
      </c>
      <c r="K344" s="71" t="s">
        <v>2318</v>
      </c>
      <c r="L344" s="71" t="s">
        <v>2941</v>
      </c>
      <c r="M344" s="76" t="s">
        <v>3220</v>
      </c>
    </row>
    <row r="345" ht="21.0" customHeight="1">
      <c r="A345" s="70">
        <v>331.0</v>
      </c>
      <c r="B345" s="71" t="s">
        <v>37</v>
      </c>
      <c r="C345" s="72" t="s">
        <v>79</v>
      </c>
      <c r="D345" s="73" t="s">
        <v>80</v>
      </c>
      <c r="E345" s="71"/>
      <c r="F345" s="73"/>
      <c r="G345" s="74" t="s">
        <v>2766</v>
      </c>
      <c r="H345" s="73"/>
      <c r="I345" s="77" t="s">
        <v>2784</v>
      </c>
      <c r="J345" s="74" t="b">
        <v>1</v>
      </c>
      <c r="K345" s="71" t="s">
        <v>81</v>
      </c>
      <c r="L345" s="71" t="s">
        <v>3221</v>
      </c>
      <c r="M345" s="76" t="s">
        <v>3222</v>
      </c>
    </row>
    <row r="346" ht="21.0" customHeight="1">
      <c r="A346" s="70">
        <v>332.0</v>
      </c>
      <c r="B346" s="71" t="s">
        <v>37</v>
      </c>
      <c r="C346" s="72" t="s">
        <v>86</v>
      </c>
      <c r="D346" s="73" t="s">
        <v>87</v>
      </c>
      <c r="E346" s="71"/>
      <c r="F346" s="73"/>
      <c r="G346" s="74" t="s">
        <v>2766</v>
      </c>
      <c r="H346" s="73"/>
      <c r="I346" s="77" t="s">
        <v>2784</v>
      </c>
      <c r="J346" s="74" t="b">
        <v>1</v>
      </c>
      <c r="K346" s="71" t="s">
        <v>88</v>
      </c>
      <c r="L346" s="71" t="s">
        <v>3221</v>
      </c>
      <c r="M346" s="76" t="s">
        <v>3223</v>
      </c>
    </row>
    <row r="347" ht="21.0" customHeight="1">
      <c r="A347" s="70">
        <v>333.0</v>
      </c>
      <c r="B347" s="71" t="s">
        <v>37</v>
      </c>
      <c r="C347" s="72" t="s">
        <v>115</v>
      </c>
      <c r="D347" s="73" t="s">
        <v>116</v>
      </c>
      <c r="E347" s="71"/>
      <c r="F347" s="73"/>
      <c r="G347" s="74" t="s">
        <v>2766</v>
      </c>
      <c r="H347" s="73"/>
      <c r="I347" s="77" t="s">
        <v>2784</v>
      </c>
      <c r="J347" s="74" t="b">
        <v>1</v>
      </c>
      <c r="K347" s="71" t="s">
        <v>117</v>
      </c>
      <c r="L347" s="71" t="s">
        <v>3221</v>
      </c>
      <c r="M347" s="76" t="s">
        <v>3224</v>
      </c>
    </row>
    <row r="348" ht="21.0" customHeight="1">
      <c r="A348" s="70">
        <v>334.0</v>
      </c>
      <c r="B348" s="71" t="s">
        <v>37</v>
      </c>
      <c r="C348" s="72" t="s">
        <v>122</v>
      </c>
      <c r="D348" s="73" t="s">
        <v>123</v>
      </c>
      <c r="E348" s="71"/>
      <c r="F348" s="73"/>
      <c r="G348" s="74" t="s">
        <v>2766</v>
      </c>
      <c r="H348" s="73"/>
      <c r="I348" s="77" t="s">
        <v>2784</v>
      </c>
      <c r="J348" s="74" t="b">
        <v>1</v>
      </c>
      <c r="K348" s="71" t="s">
        <v>124</v>
      </c>
      <c r="L348" s="71" t="s">
        <v>3221</v>
      </c>
      <c r="M348" s="76" t="s">
        <v>3225</v>
      </c>
    </row>
    <row r="349" ht="21.0" customHeight="1">
      <c r="A349" s="70">
        <v>335.0</v>
      </c>
      <c r="B349" s="71" t="s">
        <v>37</v>
      </c>
      <c r="C349" s="72" t="s">
        <v>186</v>
      </c>
      <c r="D349" s="73" t="s">
        <v>187</v>
      </c>
      <c r="E349" s="71"/>
      <c r="F349" s="73"/>
      <c r="G349" s="74" t="s">
        <v>2766</v>
      </c>
      <c r="H349" s="73"/>
      <c r="I349" s="77" t="s">
        <v>2784</v>
      </c>
      <c r="J349" s="74" t="b">
        <v>1</v>
      </c>
      <c r="K349" s="71" t="s">
        <v>188</v>
      </c>
      <c r="L349" s="71" t="s">
        <v>3221</v>
      </c>
      <c r="M349" s="76" t="s">
        <v>3226</v>
      </c>
    </row>
    <row r="350" ht="21.0" customHeight="1">
      <c r="A350" s="70">
        <v>336.0</v>
      </c>
      <c r="B350" s="71" t="s">
        <v>37</v>
      </c>
      <c r="C350" s="72" t="s">
        <v>237</v>
      </c>
      <c r="D350" s="73" t="s">
        <v>238</v>
      </c>
      <c r="E350" s="71"/>
      <c r="F350" s="73"/>
      <c r="G350" s="74" t="s">
        <v>2766</v>
      </c>
      <c r="H350" s="73"/>
      <c r="I350" s="77" t="s">
        <v>2784</v>
      </c>
      <c r="J350" s="74" t="b">
        <v>1</v>
      </c>
      <c r="K350" s="71" t="s">
        <v>239</v>
      </c>
      <c r="L350" s="71" t="s">
        <v>3221</v>
      </c>
      <c r="M350" s="76" t="s">
        <v>3227</v>
      </c>
    </row>
    <row r="351" ht="21.0" customHeight="1">
      <c r="A351" s="70">
        <v>337.0</v>
      </c>
      <c r="B351" s="71" t="s">
        <v>37</v>
      </c>
      <c r="C351" s="72" t="s">
        <v>244</v>
      </c>
      <c r="D351" s="73" t="s">
        <v>245</v>
      </c>
      <c r="E351" s="71"/>
      <c r="F351" s="73"/>
      <c r="G351" s="74" t="s">
        <v>2766</v>
      </c>
      <c r="H351" s="73"/>
      <c r="I351" s="77" t="s">
        <v>2784</v>
      </c>
      <c r="J351" s="74" t="b">
        <v>1</v>
      </c>
      <c r="K351" s="71" t="s">
        <v>246</v>
      </c>
      <c r="L351" s="71" t="s">
        <v>3221</v>
      </c>
      <c r="M351" s="76" t="s">
        <v>3228</v>
      </c>
    </row>
    <row r="352" ht="21.0" customHeight="1">
      <c r="A352" s="70">
        <v>338.0</v>
      </c>
      <c r="B352" s="71" t="s">
        <v>37</v>
      </c>
      <c r="C352" s="72" t="s">
        <v>251</v>
      </c>
      <c r="D352" s="73" t="s">
        <v>252</v>
      </c>
      <c r="E352" s="71"/>
      <c r="F352" s="73"/>
      <c r="G352" s="74" t="s">
        <v>2766</v>
      </c>
      <c r="H352" s="73"/>
      <c r="I352" s="77" t="s">
        <v>2784</v>
      </c>
      <c r="J352" s="74" t="b">
        <v>1</v>
      </c>
      <c r="K352" s="71" t="s">
        <v>253</v>
      </c>
      <c r="L352" s="71" t="s">
        <v>3221</v>
      </c>
      <c r="M352" s="76" t="s">
        <v>3229</v>
      </c>
    </row>
    <row r="353" ht="21.0" customHeight="1">
      <c r="A353" s="70">
        <v>339.0</v>
      </c>
      <c r="B353" s="71" t="s">
        <v>37</v>
      </c>
      <c r="C353" s="72" t="s">
        <v>258</v>
      </c>
      <c r="D353" s="73" t="s">
        <v>259</v>
      </c>
      <c r="E353" s="71"/>
      <c r="F353" s="73"/>
      <c r="G353" s="74" t="s">
        <v>2766</v>
      </c>
      <c r="H353" s="73"/>
      <c r="I353" s="75" t="s">
        <v>2784</v>
      </c>
      <c r="J353" s="74" t="b">
        <v>1</v>
      </c>
      <c r="K353" s="71" t="s">
        <v>260</v>
      </c>
      <c r="L353" s="71" t="s">
        <v>3221</v>
      </c>
      <c r="M353" s="76" t="s">
        <v>3230</v>
      </c>
    </row>
    <row r="354" ht="21.0" customHeight="1">
      <c r="A354" s="70">
        <v>340.0</v>
      </c>
      <c r="B354" s="71" t="s">
        <v>37</v>
      </c>
      <c r="C354" s="72" t="s">
        <v>265</v>
      </c>
      <c r="D354" s="73" t="s">
        <v>266</v>
      </c>
      <c r="E354" s="71"/>
      <c r="F354" s="73"/>
      <c r="G354" s="74" t="s">
        <v>2766</v>
      </c>
      <c r="H354" s="73"/>
      <c r="I354" s="77" t="s">
        <v>2784</v>
      </c>
      <c r="J354" s="74" t="b">
        <v>1</v>
      </c>
      <c r="K354" s="71" t="s">
        <v>267</v>
      </c>
      <c r="L354" s="71" t="s">
        <v>3221</v>
      </c>
      <c r="M354" s="76" t="s">
        <v>3231</v>
      </c>
    </row>
    <row r="355" ht="21.0" customHeight="1">
      <c r="A355" s="70">
        <v>341.0</v>
      </c>
      <c r="B355" s="71" t="s">
        <v>37</v>
      </c>
      <c r="C355" s="72" t="s">
        <v>272</v>
      </c>
      <c r="D355" s="73" t="s">
        <v>273</v>
      </c>
      <c r="E355" s="71"/>
      <c r="F355" s="73"/>
      <c r="G355" s="74" t="s">
        <v>2766</v>
      </c>
      <c r="H355" s="73"/>
      <c r="I355" s="77" t="s">
        <v>2784</v>
      </c>
      <c r="J355" s="74" t="b">
        <v>1</v>
      </c>
      <c r="K355" s="71" t="s">
        <v>274</v>
      </c>
      <c r="L355" s="71" t="s">
        <v>3221</v>
      </c>
      <c r="M355" s="76" t="s">
        <v>3232</v>
      </c>
    </row>
    <row r="356" ht="21.0" customHeight="1">
      <c r="A356" s="70">
        <v>342.0</v>
      </c>
      <c r="B356" s="71" t="s">
        <v>37</v>
      </c>
      <c r="C356" s="72" t="s">
        <v>279</v>
      </c>
      <c r="D356" s="73" t="s">
        <v>280</v>
      </c>
      <c r="E356" s="71"/>
      <c r="F356" s="73"/>
      <c r="G356" s="74" t="s">
        <v>2766</v>
      </c>
      <c r="H356" s="73"/>
      <c r="I356" s="77" t="s">
        <v>2784</v>
      </c>
      <c r="J356" s="74" t="b">
        <v>1</v>
      </c>
      <c r="K356" s="71" t="s">
        <v>281</v>
      </c>
      <c r="L356" s="71" t="s">
        <v>3221</v>
      </c>
      <c r="M356" s="76" t="s">
        <v>3233</v>
      </c>
    </row>
    <row r="357" ht="21.0" customHeight="1">
      <c r="A357" s="70">
        <v>343.0</v>
      </c>
      <c r="B357" s="71" t="s">
        <v>37</v>
      </c>
      <c r="C357" s="72" t="s">
        <v>286</v>
      </c>
      <c r="D357" s="73" t="s">
        <v>287</v>
      </c>
      <c r="E357" s="71"/>
      <c r="F357" s="73"/>
      <c r="G357" s="74" t="s">
        <v>2766</v>
      </c>
      <c r="H357" s="73"/>
      <c r="I357" s="77" t="s">
        <v>2784</v>
      </c>
      <c r="J357" s="74" t="b">
        <v>1</v>
      </c>
      <c r="K357" s="71" t="s">
        <v>288</v>
      </c>
      <c r="L357" s="71" t="s">
        <v>3221</v>
      </c>
      <c r="M357" s="76" t="s">
        <v>3234</v>
      </c>
    </row>
    <row r="358" ht="21.0" customHeight="1">
      <c r="A358" s="70">
        <v>344.0</v>
      </c>
      <c r="B358" s="71" t="s">
        <v>37</v>
      </c>
      <c r="C358" s="72" t="s">
        <v>293</v>
      </c>
      <c r="D358" s="73" t="s">
        <v>294</v>
      </c>
      <c r="E358" s="71"/>
      <c r="F358" s="73"/>
      <c r="G358" s="74" t="s">
        <v>2766</v>
      </c>
      <c r="H358" s="73"/>
      <c r="I358" s="77" t="s">
        <v>2784</v>
      </c>
      <c r="J358" s="74" t="b">
        <v>1</v>
      </c>
      <c r="K358" s="71" t="s">
        <v>295</v>
      </c>
      <c r="L358" s="71" t="s">
        <v>3221</v>
      </c>
      <c r="M358" s="76" t="s">
        <v>3235</v>
      </c>
    </row>
    <row r="359" ht="21.0" customHeight="1">
      <c r="A359" s="70">
        <v>345.0</v>
      </c>
      <c r="B359" s="71" t="s">
        <v>37</v>
      </c>
      <c r="C359" s="72" t="s">
        <v>300</v>
      </c>
      <c r="D359" s="73" t="s">
        <v>301</v>
      </c>
      <c r="E359" s="71"/>
      <c r="F359" s="73"/>
      <c r="G359" s="74" t="s">
        <v>2766</v>
      </c>
      <c r="H359" s="73"/>
      <c r="I359" s="77" t="s">
        <v>2784</v>
      </c>
      <c r="J359" s="74" t="b">
        <v>1</v>
      </c>
      <c r="K359" s="71" t="s">
        <v>302</v>
      </c>
      <c r="L359" s="71" t="s">
        <v>3221</v>
      </c>
      <c r="M359" s="76" t="s">
        <v>3236</v>
      </c>
    </row>
    <row r="360" ht="21.0" customHeight="1">
      <c r="A360" s="70">
        <v>346.0</v>
      </c>
      <c r="B360" s="71" t="s">
        <v>37</v>
      </c>
      <c r="C360" s="72" t="s">
        <v>362</v>
      </c>
      <c r="D360" s="73" t="s">
        <v>363</v>
      </c>
      <c r="E360" s="71"/>
      <c r="F360" s="73"/>
      <c r="G360" s="74" t="s">
        <v>2766</v>
      </c>
      <c r="H360" s="73"/>
      <c r="I360" s="77" t="s">
        <v>2784</v>
      </c>
      <c r="J360" s="74" t="b">
        <v>1</v>
      </c>
      <c r="K360" s="71" t="s">
        <v>364</v>
      </c>
      <c r="L360" s="71" t="s">
        <v>3221</v>
      </c>
      <c r="M360" s="76" t="s">
        <v>3237</v>
      </c>
    </row>
    <row r="361" ht="21.0" customHeight="1">
      <c r="A361" s="70">
        <v>347.0</v>
      </c>
      <c r="B361" s="71" t="s">
        <v>37</v>
      </c>
      <c r="C361" s="72" t="s">
        <v>369</v>
      </c>
      <c r="D361" s="73" t="s">
        <v>370</v>
      </c>
      <c r="E361" s="71"/>
      <c r="F361" s="73"/>
      <c r="G361" s="74" t="s">
        <v>2766</v>
      </c>
      <c r="H361" s="73"/>
      <c r="I361" s="77" t="s">
        <v>2784</v>
      </c>
      <c r="J361" s="74" t="b">
        <v>1</v>
      </c>
      <c r="K361" s="71" t="s">
        <v>371</v>
      </c>
      <c r="L361" s="71" t="s">
        <v>3221</v>
      </c>
      <c r="M361" s="76" t="s">
        <v>3238</v>
      </c>
    </row>
    <row r="362" ht="21.0" customHeight="1">
      <c r="A362" s="70">
        <v>348.0</v>
      </c>
      <c r="B362" s="71" t="s">
        <v>37</v>
      </c>
      <c r="C362" s="72" t="s">
        <v>438</v>
      </c>
      <c r="D362" s="73" t="s">
        <v>439</v>
      </c>
      <c r="E362" s="71"/>
      <c r="F362" s="73"/>
      <c r="G362" s="74" t="s">
        <v>2766</v>
      </c>
      <c r="H362" s="73"/>
      <c r="I362" s="77" t="s">
        <v>2784</v>
      </c>
      <c r="J362" s="74" t="b">
        <v>1</v>
      </c>
      <c r="K362" s="71" t="s">
        <v>440</v>
      </c>
      <c r="L362" s="71" t="s">
        <v>3221</v>
      </c>
      <c r="M362" s="76" t="s">
        <v>3239</v>
      </c>
    </row>
    <row r="363" ht="21.0" customHeight="1">
      <c r="A363" s="70">
        <v>349.0</v>
      </c>
      <c r="B363" s="71" t="s">
        <v>37</v>
      </c>
      <c r="C363" s="72" t="s">
        <v>445</v>
      </c>
      <c r="D363" s="73" t="s">
        <v>446</v>
      </c>
      <c r="E363" s="71"/>
      <c r="F363" s="73"/>
      <c r="G363" s="74" t="s">
        <v>2766</v>
      </c>
      <c r="H363" s="73"/>
      <c r="I363" s="77" t="s">
        <v>2784</v>
      </c>
      <c r="J363" s="74" t="b">
        <v>1</v>
      </c>
      <c r="K363" s="71" t="s">
        <v>447</v>
      </c>
      <c r="L363" s="71" t="s">
        <v>3221</v>
      </c>
      <c r="M363" s="76" t="s">
        <v>3240</v>
      </c>
    </row>
    <row r="364" ht="21.0" customHeight="1">
      <c r="A364" s="70">
        <v>350.0</v>
      </c>
      <c r="B364" s="71" t="s">
        <v>37</v>
      </c>
      <c r="C364" s="72" t="s">
        <v>452</v>
      </c>
      <c r="D364" s="73" t="s">
        <v>453</v>
      </c>
      <c r="E364" s="71"/>
      <c r="F364" s="73"/>
      <c r="G364" s="74" t="s">
        <v>2766</v>
      </c>
      <c r="H364" s="73"/>
      <c r="I364" s="77" t="s">
        <v>2784</v>
      </c>
      <c r="J364" s="74" t="b">
        <v>1</v>
      </c>
      <c r="K364" s="71" t="s">
        <v>454</v>
      </c>
      <c r="L364" s="71" t="s">
        <v>3221</v>
      </c>
      <c r="M364" s="76" t="s">
        <v>3241</v>
      </c>
    </row>
    <row r="365" ht="21.0" customHeight="1">
      <c r="A365" s="70">
        <v>351.0</v>
      </c>
      <c r="B365" s="71" t="s">
        <v>37</v>
      </c>
      <c r="C365" s="72" t="s">
        <v>479</v>
      </c>
      <c r="D365" s="73" t="s">
        <v>480</v>
      </c>
      <c r="E365" s="71"/>
      <c r="F365" s="73"/>
      <c r="G365" s="74" t="s">
        <v>2766</v>
      </c>
      <c r="H365" s="73"/>
      <c r="I365" s="77" t="s">
        <v>2784</v>
      </c>
      <c r="J365" s="74" t="b">
        <v>1</v>
      </c>
      <c r="K365" s="71" t="s">
        <v>481</v>
      </c>
      <c r="L365" s="71" t="s">
        <v>3221</v>
      </c>
      <c r="M365" s="76" t="s">
        <v>3242</v>
      </c>
    </row>
    <row r="366" ht="21.0" customHeight="1">
      <c r="A366" s="70">
        <v>352.0</v>
      </c>
      <c r="B366" s="71" t="s">
        <v>37</v>
      </c>
      <c r="C366" s="72" t="s">
        <v>3243</v>
      </c>
      <c r="D366" s="73" t="s">
        <v>487</v>
      </c>
      <c r="E366" s="71"/>
      <c r="F366" s="73"/>
      <c r="G366" s="74" t="s">
        <v>2766</v>
      </c>
      <c r="H366" s="73"/>
      <c r="I366" s="77" t="s">
        <v>2784</v>
      </c>
      <c r="J366" s="74" t="b">
        <v>1</v>
      </c>
      <c r="K366" s="71" t="s">
        <v>3244</v>
      </c>
      <c r="L366" s="71" t="s">
        <v>3221</v>
      </c>
      <c r="M366" s="76" t="s">
        <v>3245</v>
      </c>
    </row>
    <row r="367" ht="21.0" customHeight="1">
      <c r="A367" s="70">
        <v>353.0</v>
      </c>
      <c r="B367" s="71" t="s">
        <v>37</v>
      </c>
      <c r="C367" s="72" t="s">
        <v>3246</v>
      </c>
      <c r="D367" s="73" t="s">
        <v>3247</v>
      </c>
      <c r="E367" s="71"/>
      <c r="F367" s="73"/>
      <c r="G367" s="74" t="s">
        <v>2766</v>
      </c>
      <c r="H367" s="73"/>
      <c r="I367" s="77" t="s">
        <v>2784</v>
      </c>
      <c r="J367" s="74" t="b">
        <v>1</v>
      </c>
      <c r="K367" s="71" t="s">
        <v>3248</v>
      </c>
      <c r="L367" s="71" t="s">
        <v>3221</v>
      </c>
      <c r="M367" s="76" t="s">
        <v>3249</v>
      </c>
    </row>
    <row r="368" ht="21.0" customHeight="1">
      <c r="A368" s="70">
        <v>354.0</v>
      </c>
      <c r="B368" s="71" t="s">
        <v>37</v>
      </c>
      <c r="C368" s="72" t="s">
        <v>3250</v>
      </c>
      <c r="D368" s="73" t="s">
        <v>497</v>
      </c>
      <c r="E368" s="71"/>
      <c r="F368" s="73"/>
      <c r="G368" s="74" t="s">
        <v>2766</v>
      </c>
      <c r="H368" s="73"/>
      <c r="I368" s="77" t="s">
        <v>2784</v>
      </c>
      <c r="J368" s="74" t="b">
        <v>1</v>
      </c>
      <c r="K368" s="71" t="s">
        <v>3251</v>
      </c>
      <c r="L368" s="71" t="s">
        <v>3221</v>
      </c>
      <c r="M368" s="76" t="s">
        <v>3252</v>
      </c>
    </row>
    <row r="369" ht="21.0" customHeight="1">
      <c r="A369" s="70">
        <v>355.0</v>
      </c>
      <c r="B369" s="71" t="s">
        <v>37</v>
      </c>
      <c r="C369" s="72" t="s">
        <v>501</v>
      </c>
      <c r="D369" s="73" t="s">
        <v>502</v>
      </c>
      <c r="E369" s="71"/>
      <c r="F369" s="73"/>
      <c r="G369" s="74" t="s">
        <v>2766</v>
      </c>
      <c r="H369" s="73"/>
      <c r="I369" s="77" t="s">
        <v>2784</v>
      </c>
      <c r="J369" s="74" t="b">
        <v>1</v>
      </c>
      <c r="K369" s="71" t="s">
        <v>503</v>
      </c>
      <c r="L369" s="71" t="s">
        <v>3221</v>
      </c>
      <c r="M369" s="76" t="s">
        <v>3253</v>
      </c>
    </row>
    <row r="370" ht="21.0" customHeight="1">
      <c r="A370" s="70">
        <v>356.0</v>
      </c>
      <c r="B370" s="71" t="s">
        <v>37</v>
      </c>
      <c r="C370" s="72" t="s">
        <v>508</v>
      </c>
      <c r="D370" s="73" t="s">
        <v>509</v>
      </c>
      <c r="E370" s="71"/>
      <c r="F370" s="73"/>
      <c r="G370" s="74" t="s">
        <v>2766</v>
      </c>
      <c r="H370" s="73"/>
      <c r="I370" s="77" t="s">
        <v>2784</v>
      </c>
      <c r="J370" s="74" t="b">
        <v>1</v>
      </c>
      <c r="K370" s="71" t="s">
        <v>510</v>
      </c>
      <c r="L370" s="71" t="s">
        <v>3221</v>
      </c>
      <c r="M370" s="76" t="s">
        <v>3254</v>
      </c>
    </row>
    <row r="371" ht="21.0" customHeight="1">
      <c r="A371" s="70">
        <v>357.0</v>
      </c>
      <c r="B371" s="71" t="s">
        <v>37</v>
      </c>
      <c r="C371" s="72" t="s">
        <v>515</v>
      </c>
      <c r="D371" s="73" t="s">
        <v>516</v>
      </c>
      <c r="E371" s="71"/>
      <c r="F371" s="73"/>
      <c r="G371" s="74" t="s">
        <v>2766</v>
      </c>
      <c r="H371" s="73"/>
      <c r="I371" s="77" t="s">
        <v>2784</v>
      </c>
      <c r="J371" s="74" t="b">
        <v>1</v>
      </c>
      <c r="K371" s="71" t="s">
        <v>517</v>
      </c>
      <c r="L371" s="71" t="s">
        <v>3221</v>
      </c>
      <c r="M371" s="76" t="s">
        <v>3255</v>
      </c>
    </row>
    <row r="372" ht="21.0" customHeight="1">
      <c r="A372" s="70">
        <v>358.0</v>
      </c>
      <c r="B372" s="71" t="s">
        <v>37</v>
      </c>
      <c r="C372" s="72" t="s">
        <v>522</v>
      </c>
      <c r="D372" s="73" t="s">
        <v>523</v>
      </c>
      <c r="E372" s="71"/>
      <c r="F372" s="73"/>
      <c r="G372" s="74" t="s">
        <v>2766</v>
      </c>
      <c r="H372" s="73"/>
      <c r="I372" s="77" t="s">
        <v>2784</v>
      </c>
      <c r="J372" s="74" t="b">
        <v>1</v>
      </c>
      <c r="K372" s="71" t="s">
        <v>524</v>
      </c>
      <c r="L372" s="71" t="s">
        <v>3221</v>
      </c>
      <c r="M372" s="76" t="s">
        <v>3256</v>
      </c>
    </row>
    <row r="373" ht="21.0" customHeight="1">
      <c r="A373" s="70">
        <v>359.0</v>
      </c>
      <c r="B373" s="71" t="s">
        <v>37</v>
      </c>
      <c r="C373" s="72" t="s">
        <v>529</v>
      </c>
      <c r="D373" s="73" t="s">
        <v>530</v>
      </c>
      <c r="E373" s="71"/>
      <c r="F373" s="73"/>
      <c r="G373" s="74" t="s">
        <v>2766</v>
      </c>
      <c r="H373" s="73"/>
      <c r="I373" s="77" t="s">
        <v>2784</v>
      </c>
      <c r="J373" s="74" t="b">
        <v>1</v>
      </c>
      <c r="K373" s="71" t="s">
        <v>531</v>
      </c>
      <c r="L373" s="71" t="s">
        <v>3221</v>
      </c>
      <c r="M373" s="76" t="s">
        <v>3257</v>
      </c>
    </row>
    <row r="374" ht="21.0" customHeight="1">
      <c r="A374" s="70">
        <v>360.0</v>
      </c>
      <c r="B374" s="71" t="s">
        <v>39</v>
      </c>
      <c r="C374" s="72" t="s">
        <v>596</v>
      </c>
      <c r="D374" s="73" t="s">
        <v>597</v>
      </c>
      <c r="E374" s="71"/>
      <c r="F374" s="73"/>
      <c r="G374" s="74" t="s">
        <v>2766</v>
      </c>
      <c r="H374" s="73"/>
      <c r="I374" s="77" t="s">
        <v>2784</v>
      </c>
      <c r="J374" s="74" t="b">
        <v>1</v>
      </c>
      <c r="K374" s="71" t="s">
        <v>598</v>
      </c>
      <c r="L374" s="71" t="s">
        <v>3221</v>
      </c>
      <c r="M374" s="76" t="s">
        <v>3258</v>
      </c>
    </row>
    <row r="375" ht="21.0" customHeight="1">
      <c r="A375" s="70">
        <v>361.0</v>
      </c>
      <c r="B375" s="71" t="s">
        <v>39</v>
      </c>
      <c r="C375" s="72" t="s">
        <v>634</v>
      </c>
      <c r="D375" s="73" t="s">
        <v>635</v>
      </c>
      <c r="E375" s="71"/>
      <c r="F375" s="73"/>
      <c r="G375" s="74" t="s">
        <v>2766</v>
      </c>
      <c r="H375" s="73"/>
      <c r="I375" s="77" t="s">
        <v>2784</v>
      </c>
      <c r="J375" s="74" t="b">
        <v>1</v>
      </c>
      <c r="K375" s="71" t="s">
        <v>636</v>
      </c>
      <c r="L375" s="71" t="s">
        <v>3221</v>
      </c>
      <c r="M375" s="76" t="s">
        <v>3259</v>
      </c>
    </row>
    <row r="376" ht="21.0" customHeight="1">
      <c r="A376" s="70">
        <v>362.0</v>
      </c>
      <c r="B376" s="71" t="s">
        <v>39</v>
      </c>
      <c r="C376" s="72" t="s">
        <v>704</v>
      </c>
      <c r="D376" s="73" t="s">
        <v>705</v>
      </c>
      <c r="E376" s="71"/>
      <c r="F376" s="73"/>
      <c r="G376" s="74" t="s">
        <v>2766</v>
      </c>
      <c r="H376" s="73"/>
      <c r="I376" s="77" t="s">
        <v>2784</v>
      </c>
      <c r="J376" s="74" t="b">
        <v>1</v>
      </c>
      <c r="K376" s="71" t="s">
        <v>706</v>
      </c>
      <c r="L376" s="71" t="s">
        <v>3221</v>
      </c>
      <c r="M376" s="76" t="s">
        <v>3260</v>
      </c>
    </row>
    <row r="377" ht="21.0" customHeight="1">
      <c r="A377" s="70">
        <v>363.0</v>
      </c>
      <c r="B377" s="71" t="s">
        <v>39</v>
      </c>
      <c r="C377" s="72" t="s">
        <v>711</v>
      </c>
      <c r="D377" s="73" t="s">
        <v>712</v>
      </c>
      <c r="E377" s="71"/>
      <c r="F377" s="73"/>
      <c r="G377" s="74" t="s">
        <v>2766</v>
      </c>
      <c r="H377" s="73"/>
      <c r="I377" s="77" t="s">
        <v>2784</v>
      </c>
      <c r="J377" s="74" t="b">
        <v>1</v>
      </c>
      <c r="K377" s="71" t="s">
        <v>713</v>
      </c>
      <c r="L377" s="71" t="s">
        <v>3221</v>
      </c>
      <c r="M377" s="76" t="s">
        <v>3261</v>
      </c>
    </row>
    <row r="378" ht="21.0" customHeight="1">
      <c r="A378" s="70">
        <v>364.0</v>
      </c>
      <c r="B378" s="71" t="s">
        <v>39</v>
      </c>
      <c r="C378" s="72" t="s">
        <v>718</v>
      </c>
      <c r="D378" s="73" t="s">
        <v>719</v>
      </c>
      <c r="E378" s="71"/>
      <c r="F378" s="73"/>
      <c r="G378" s="74" t="s">
        <v>2766</v>
      </c>
      <c r="H378" s="73"/>
      <c r="I378" s="77" t="s">
        <v>2784</v>
      </c>
      <c r="J378" s="74" t="b">
        <v>1</v>
      </c>
      <c r="K378" s="71" t="s">
        <v>720</v>
      </c>
      <c r="L378" s="71" t="s">
        <v>3221</v>
      </c>
      <c r="M378" s="76" t="s">
        <v>3262</v>
      </c>
    </row>
    <row r="379" ht="21.0" customHeight="1">
      <c r="A379" s="70">
        <v>365.0</v>
      </c>
      <c r="B379" s="71" t="s">
        <v>39</v>
      </c>
      <c r="C379" s="72" t="s">
        <v>725</v>
      </c>
      <c r="D379" s="82" t="s">
        <v>726</v>
      </c>
      <c r="E379" s="71"/>
      <c r="F379" s="73"/>
      <c r="G379" s="74" t="s">
        <v>2766</v>
      </c>
      <c r="H379" s="73"/>
      <c r="I379" s="77" t="s">
        <v>2784</v>
      </c>
      <c r="J379" s="74" t="b">
        <v>1</v>
      </c>
      <c r="K379" s="83" t="s">
        <v>3263</v>
      </c>
      <c r="L379" s="71" t="s">
        <v>3221</v>
      </c>
      <c r="M379" s="84" t="s">
        <v>3264</v>
      </c>
    </row>
    <row r="380" ht="21.0" customHeight="1">
      <c r="A380" s="70">
        <v>366.0</v>
      </c>
      <c r="B380" s="71" t="s">
        <v>39</v>
      </c>
      <c r="C380" s="72" t="s">
        <v>730</v>
      </c>
      <c r="D380" s="73" t="s">
        <v>731</v>
      </c>
      <c r="E380" s="71"/>
      <c r="F380" s="73"/>
      <c r="G380" s="74" t="s">
        <v>2766</v>
      </c>
      <c r="H380" s="73"/>
      <c r="I380" s="77" t="s">
        <v>2784</v>
      </c>
      <c r="J380" s="74" t="b">
        <v>1</v>
      </c>
      <c r="K380" s="71" t="s">
        <v>732</v>
      </c>
      <c r="L380" s="71" t="s">
        <v>3221</v>
      </c>
      <c r="M380" s="76" t="s">
        <v>3265</v>
      </c>
    </row>
    <row r="381" ht="21.0" customHeight="1">
      <c r="A381" s="70">
        <v>367.0</v>
      </c>
      <c r="B381" s="71" t="s">
        <v>39</v>
      </c>
      <c r="C381" s="72" t="s">
        <v>737</v>
      </c>
      <c r="D381" s="73" t="s">
        <v>738</v>
      </c>
      <c r="E381" s="71"/>
      <c r="F381" s="73"/>
      <c r="G381" s="74" t="s">
        <v>2766</v>
      </c>
      <c r="H381" s="73"/>
      <c r="I381" s="77" t="s">
        <v>2784</v>
      </c>
      <c r="J381" s="74" t="b">
        <v>1</v>
      </c>
      <c r="K381" s="71" t="s">
        <v>739</v>
      </c>
      <c r="L381" s="71" t="s">
        <v>3221</v>
      </c>
      <c r="M381" s="76" t="s">
        <v>3266</v>
      </c>
    </row>
    <row r="382" ht="21.0" customHeight="1">
      <c r="A382" s="70">
        <v>368.0</v>
      </c>
      <c r="B382" s="71" t="s">
        <v>39</v>
      </c>
      <c r="C382" s="72" t="s">
        <v>744</v>
      </c>
      <c r="D382" s="73" t="s">
        <v>745</v>
      </c>
      <c r="E382" s="71"/>
      <c r="F382" s="73"/>
      <c r="G382" s="74" t="s">
        <v>2766</v>
      </c>
      <c r="H382" s="73"/>
      <c r="I382" s="77" t="s">
        <v>2784</v>
      </c>
      <c r="J382" s="74" t="b">
        <v>1</v>
      </c>
      <c r="K382" s="71" t="s">
        <v>746</v>
      </c>
      <c r="L382" s="71" t="s">
        <v>3221</v>
      </c>
      <c r="M382" s="76" t="s">
        <v>3267</v>
      </c>
    </row>
    <row r="383" ht="21.0" customHeight="1">
      <c r="A383" s="70">
        <v>369.0</v>
      </c>
      <c r="B383" s="71" t="s">
        <v>39</v>
      </c>
      <c r="C383" s="72" t="s">
        <v>787</v>
      </c>
      <c r="D383" s="73" t="s">
        <v>788</v>
      </c>
      <c r="E383" s="71"/>
      <c r="F383" s="73"/>
      <c r="G383" s="74" t="s">
        <v>2766</v>
      </c>
      <c r="H383" s="73"/>
      <c r="I383" s="77" t="s">
        <v>2784</v>
      </c>
      <c r="J383" s="74" t="b">
        <v>1</v>
      </c>
      <c r="K383" s="71" t="s">
        <v>789</v>
      </c>
      <c r="L383" s="71" t="s">
        <v>3221</v>
      </c>
      <c r="M383" s="76" t="s">
        <v>3268</v>
      </c>
    </row>
    <row r="384" ht="21.0" customHeight="1">
      <c r="A384" s="70">
        <v>370.0</v>
      </c>
      <c r="B384" s="71" t="s">
        <v>39</v>
      </c>
      <c r="C384" s="72" t="s">
        <v>794</v>
      </c>
      <c r="D384" s="73" t="s">
        <v>795</v>
      </c>
      <c r="E384" s="71"/>
      <c r="F384" s="73"/>
      <c r="G384" s="74" t="s">
        <v>2766</v>
      </c>
      <c r="H384" s="73"/>
      <c r="I384" s="77" t="s">
        <v>2784</v>
      </c>
      <c r="J384" s="74" t="b">
        <v>1</v>
      </c>
      <c r="K384" s="71" t="s">
        <v>796</v>
      </c>
      <c r="L384" s="71" t="s">
        <v>3221</v>
      </c>
      <c r="M384" s="76" t="s">
        <v>3269</v>
      </c>
    </row>
    <row r="385" ht="21.0" customHeight="1">
      <c r="A385" s="70">
        <v>371.0</v>
      </c>
      <c r="B385" s="71" t="s">
        <v>39</v>
      </c>
      <c r="C385" s="72" t="s">
        <v>801</v>
      </c>
      <c r="D385" s="73" t="s">
        <v>802</v>
      </c>
      <c r="E385" s="71"/>
      <c r="F385" s="73"/>
      <c r="G385" s="74" t="s">
        <v>2766</v>
      </c>
      <c r="H385" s="73"/>
      <c r="I385" s="77" t="s">
        <v>2784</v>
      </c>
      <c r="J385" s="74" t="b">
        <v>1</v>
      </c>
      <c r="K385" s="71" t="s">
        <v>803</v>
      </c>
      <c r="L385" s="71" t="s">
        <v>3221</v>
      </c>
      <c r="M385" s="76" t="s">
        <v>3270</v>
      </c>
    </row>
    <row r="386" ht="21.0" customHeight="1">
      <c r="A386" s="70">
        <v>372.0</v>
      </c>
      <c r="B386" s="71" t="s">
        <v>39</v>
      </c>
      <c r="C386" s="72" t="s">
        <v>808</v>
      </c>
      <c r="D386" s="73" t="s">
        <v>809</v>
      </c>
      <c r="E386" s="71"/>
      <c r="F386" s="73"/>
      <c r="G386" s="74" t="s">
        <v>2766</v>
      </c>
      <c r="H386" s="73"/>
      <c r="I386" s="77" t="s">
        <v>2784</v>
      </c>
      <c r="J386" s="74" t="b">
        <v>1</v>
      </c>
      <c r="K386" s="71" t="s">
        <v>810</v>
      </c>
      <c r="L386" s="71" t="s">
        <v>3221</v>
      </c>
      <c r="M386" s="76" t="s">
        <v>3271</v>
      </c>
    </row>
    <row r="387" ht="21.0" customHeight="1">
      <c r="A387" s="70">
        <v>373.0</v>
      </c>
      <c r="B387" s="71" t="s">
        <v>39</v>
      </c>
      <c r="C387" s="72" t="s">
        <v>858</v>
      </c>
      <c r="D387" s="73" t="s">
        <v>859</v>
      </c>
      <c r="E387" s="71"/>
      <c r="F387" s="73"/>
      <c r="G387" s="74" t="s">
        <v>2766</v>
      </c>
      <c r="H387" s="73"/>
      <c r="I387" s="77" t="s">
        <v>2784</v>
      </c>
      <c r="J387" s="74" t="b">
        <v>1</v>
      </c>
      <c r="K387" s="71" t="s">
        <v>860</v>
      </c>
      <c r="L387" s="71" t="s">
        <v>3221</v>
      </c>
      <c r="M387" s="76" t="s">
        <v>3272</v>
      </c>
    </row>
    <row r="388" ht="21.0" customHeight="1">
      <c r="A388" s="70">
        <v>374.0</v>
      </c>
      <c r="B388" s="71" t="s">
        <v>39</v>
      </c>
      <c r="C388" s="72" t="s">
        <v>865</v>
      </c>
      <c r="D388" s="73" t="s">
        <v>866</v>
      </c>
      <c r="E388" s="71"/>
      <c r="F388" s="73"/>
      <c r="G388" s="74" t="s">
        <v>2766</v>
      </c>
      <c r="H388" s="73"/>
      <c r="I388" s="77" t="s">
        <v>2784</v>
      </c>
      <c r="J388" s="74" t="b">
        <v>1</v>
      </c>
      <c r="K388" s="71" t="s">
        <v>867</v>
      </c>
      <c r="L388" s="71" t="s">
        <v>3221</v>
      </c>
      <c r="M388" s="76" t="s">
        <v>3273</v>
      </c>
    </row>
    <row r="389" ht="21.0" customHeight="1">
      <c r="A389" s="70">
        <v>375.0</v>
      </c>
      <c r="B389" s="71" t="s">
        <v>39</v>
      </c>
      <c r="C389" s="72" t="s">
        <v>872</v>
      </c>
      <c r="D389" s="73" t="s">
        <v>873</v>
      </c>
      <c r="E389" s="71"/>
      <c r="F389" s="73"/>
      <c r="G389" s="74" t="s">
        <v>2766</v>
      </c>
      <c r="H389" s="73"/>
      <c r="I389" s="77" t="s">
        <v>2784</v>
      </c>
      <c r="J389" s="74" t="b">
        <v>1</v>
      </c>
      <c r="K389" s="71" t="s">
        <v>874</v>
      </c>
      <c r="L389" s="71" t="s">
        <v>3221</v>
      </c>
      <c r="M389" s="76" t="s">
        <v>3274</v>
      </c>
    </row>
    <row r="390" ht="21.0" customHeight="1">
      <c r="A390" s="70">
        <v>376.0</v>
      </c>
      <c r="B390" s="71" t="s">
        <v>39</v>
      </c>
      <c r="C390" s="72" t="s">
        <v>879</v>
      </c>
      <c r="D390" s="73" t="s">
        <v>880</v>
      </c>
      <c r="E390" s="71"/>
      <c r="F390" s="73"/>
      <c r="G390" s="74" t="s">
        <v>2766</v>
      </c>
      <c r="H390" s="73"/>
      <c r="I390" s="77" t="s">
        <v>2784</v>
      </c>
      <c r="J390" s="74" t="b">
        <v>1</v>
      </c>
      <c r="K390" s="71" t="s">
        <v>881</v>
      </c>
      <c r="L390" s="71" t="s">
        <v>3221</v>
      </c>
      <c r="M390" s="76" t="s">
        <v>3275</v>
      </c>
    </row>
    <row r="391" ht="21.0" customHeight="1">
      <c r="A391" s="70">
        <v>377.0</v>
      </c>
      <c r="B391" s="71" t="s">
        <v>39</v>
      </c>
      <c r="C391" s="72" t="s">
        <v>914</v>
      </c>
      <c r="D391" s="73" t="s">
        <v>915</v>
      </c>
      <c r="E391" s="71"/>
      <c r="F391" s="73"/>
      <c r="G391" s="74" t="s">
        <v>2766</v>
      </c>
      <c r="H391" s="73"/>
      <c r="I391" s="77" t="s">
        <v>2784</v>
      </c>
      <c r="J391" s="74" t="b">
        <v>1</v>
      </c>
      <c r="K391" s="71" t="s">
        <v>916</v>
      </c>
      <c r="L391" s="71" t="s">
        <v>3221</v>
      </c>
      <c r="M391" s="76" t="s">
        <v>3276</v>
      </c>
    </row>
    <row r="392" ht="21.0" customHeight="1">
      <c r="A392" s="70">
        <v>378.0</v>
      </c>
      <c r="B392" s="71" t="s">
        <v>39</v>
      </c>
      <c r="C392" s="72" t="s">
        <v>921</v>
      </c>
      <c r="D392" s="73" t="s">
        <v>922</v>
      </c>
      <c r="E392" s="71"/>
      <c r="F392" s="73"/>
      <c r="G392" s="74" t="s">
        <v>2766</v>
      </c>
      <c r="H392" s="73"/>
      <c r="I392" s="77" t="s">
        <v>2784</v>
      </c>
      <c r="J392" s="74" t="b">
        <v>1</v>
      </c>
      <c r="K392" s="71" t="s">
        <v>923</v>
      </c>
      <c r="L392" s="71" t="s">
        <v>3221</v>
      </c>
      <c r="M392" s="76" t="s">
        <v>3277</v>
      </c>
    </row>
    <row r="393" ht="21.0" customHeight="1">
      <c r="A393" s="70">
        <v>379.0</v>
      </c>
      <c r="B393" s="71" t="s">
        <v>39</v>
      </c>
      <c r="C393" s="72" t="s">
        <v>928</v>
      </c>
      <c r="D393" s="73" t="s">
        <v>929</v>
      </c>
      <c r="E393" s="71"/>
      <c r="F393" s="73"/>
      <c r="G393" s="74" t="s">
        <v>2766</v>
      </c>
      <c r="H393" s="73"/>
      <c r="I393" s="77" t="s">
        <v>2784</v>
      </c>
      <c r="J393" s="74" t="b">
        <v>1</v>
      </c>
      <c r="K393" s="71" t="s">
        <v>930</v>
      </c>
      <c r="L393" s="71" t="s">
        <v>3221</v>
      </c>
      <c r="M393" s="76" t="s">
        <v>3278</v>
      </c>
    </row>
    <row r="394" ht="21.0" customHeight="1">
      <c r="A394" s="70">
        <v>380.0</v>
      </c>
      <c r="B394" s="71" t="s">
        <v>39</v>
      </c>
      <c r="C394" s="72" t="s">
        <v>936</v>
      </c>
      <c r="D394" s="73" t="s">
        <v>937</v>
      </c>
      <c r="E394" s="71"/>
      <c r="F394" s="73"/>
      <c r="G394" s="74" t="s">
        <v>2766</v>
      </c>
      <c r="H394" s="73"/>
      <c r="I394" s="77" t="s">
        <v>2784</v>
      </c>
      <c r="J394" s="74" t="b">
        <v>1</v>
      </c>
      <c r="K394" s="71" t="s">
        <v>938</v>
      </c>
      <c r="L394" s="71" t="s">
        <v>3221</v>
      </c>
      <c r="M394" s="76" t="s">
        <v>3279</v>
      </c>
    </row>
    <row r="395" ht="21.0" customHeight="1">
      <c r="A395" s="70">
        <v>381.0</v>
      </c>
      <c r="B395" s="71" t="s">
        <v>39</v>
      </c>
      <c r="C395" s="72" t="s">
        <v>944</v>
      </c>
      <c r="D395" s="73" t="s">
        <v>945</v>
      </c>
      <c r="E395" s="71"/>
      <c r="F395" s="73"/>
      <c r="G395" s="74" t="s">
        <v>2766</v>
      </c>
      <c r="H395" s="73"/>
      <c r="I395" s="77" t="s">
        <v>2784</v>
      </c>
      <c r="J395" s="74" t="b">
        <v>1</v>
      </c>
      <c r="K395" s="71" t="s">
        <v>946</v>
      </c>
      <c r="L395" s="71" t="s">
        <v>3221</v>
      </c>
      <c r="M395" s="76" t="s">
        <v>3280</v>
      </c>
    </row>
    <row r="396" ht="21.0" customHeight="1">
      <c r="A396" s="70">
        <v>382.0</v>
      </c>
      <c r="B396" s="71" t="s">
        <v>39</v>
      </c>
      <c r="C396" s="72" t="s">
        <v>951</v>
      </c>
      <c r="D396" s="73" t="s">
        <v>952</v>
      </c>
      <c r="E396" s="71"/>
      <c r="F396" s="73"/>
      <c r="G396" s="74" t="s">
        <v>2766</v>
      </c>
      <c r="H396" s="73"/>
      <c r="I396" s="77" t="s">
        <v>2784</v>
      </c>
      <c r="J396" s="74" t="b">
        <v>1</v>
      </c>
      <c r="K396" s="71" t="s">
        <v>953</v>
      </c>
      <c r="L396" s="71" t="s">
        <v>3221</v>
      </c>
      <c r="M396" s="76" t="s">
        <v>3281</v>
      </c>
    </row>
    <row r="397" ht="21.0" customHeight="1">
      <c r="A397" s="70">
        <v>383.0</v>
      </c>
      <c r="B397" s="71" t="s">
        <v>39</v>
      </c>
      <c r="C397" s="72" t="s">
        <v>958</v>
      </c>
      <c r="D397" s="73" t="s">
        <v>959</v>
      </c>
      <c r="E397" s="71"/>
      <c r="F397" s="73"/>
      <c r="G397" s="74" t="s">
        <v>2766</v>
      </c>
      <c r="H397" s="73"/>
      <c r="I397" s="77" t="s">
        <v>2784</v>
      </c>
      <c r="J397" s="74" t="b">
        <v>1</v>
      </c>
      <c r="K397" s="71" t="s">
        <v>960</v>
      </c>
      <c r="L397" s="71" t="s">
        <v>3221</v>
      </c>
      <c r="M397" s="76" t="s">
        <v>3282</v>
      </c>
    </row>
    <row r="398" ht="21.0" customHeight="1">
      <c r="A398" s="70">
        <v>384.0</v>
      </c>
      <c r="B398" s="71" t="s">
        <v>39</v>
      </c>
      <c r="C398" s="72" t="s">
        <v>965</v>
      </c>
      <c r="D398" s="73" t="s">
        <v>966</v>
      </c>
      <c r="E398" s="71"/>
      <c r="F398" s="73"/>
      <c r="G398" s="74" t="s">
        <v>2766</v>
      </c>
      <c r="H398" s="73"/>
      <c r="I398" s="77" t="s">
        <v>2784</v>
      </c>
      <c r="J398" s="74" t="b">
        <v>1</v>
      </c>
      <c r="K398" s="71" t="s">
        <v>967</v>
      </c>
      <c r="L398" s="71" t="s">
        <v>3221</v>
      </c>
      <c r="M398" s="76" t="s">
        <v>3283</v>
      </c>
    </row>
    <row r="399" ht="21.0" customHeight="1">
      <c r="A399" s="70">
        <v>385.0</v>
      </c>
      <c r="B399" s="71" t="s">
        <v>39</v>
      </c>
      <c r="C399" s="72" t="s">
        <v>972</v>
      </c>
      <c r="D399" s="73" t="s">
        <v>973</v>
      </c>
      <c r="E399" s="71"/>
      <c r="F399" s="73"/>
      <c r="G399" s="74" t="s">
        <v>2766</v>
      </c>
      <c r="H399" s="73"/>
      <c r="I399" s="77" t="s">
        <v>2784</v>
      </c>
      <c r="J399" s="74" t="b">
        <v>1</v>
      </c>
      <c r="K399" s="71" t="s">
        <v>974</v>
      </c>
      <c r="L399" s="71" t="s">
        <v>3221</v>
      </c>
      <c r="M399" s="76" t="s">
        <v>3284</v>
      </c>
    </row>
    <row r="400" ht="21.0" customHeight="1">
      <c r="A400" s="70">
        <v>386.0</v>
      </c>
      <c r="B400" s="71" t="s">
        <v>39</v>
      </c>
      <c r="C400" s="72" t="s">
        <v>979</v>
      </c>
      <c r="D400" s="73" t="s">
        <v>980</v>
      </c>
      <c r="E400" s="71"/>
      <c r="F400" s="73"/>
      <c r="G400" s="74" t="s">
        <v>2766</v>
      </c>
      <c r="H400" s="73"/>
      <c r="I400" s="77" t="s">
        <v>2784</v>
      </c>
      <c r="J400" s="74" t="b">
        <v>1</v>
      </c>
      <c r="K400" s="71" t="s">
        <v>981</v>
      </c>
      <c r="L400" s="71" t="s">
        <v>3221</v>
      </c>
      <c r="M400" s="76" t="s">
        <v>3285</v>
      </c>
    </row>
    <row r="401" ht="21.0" customHeight="1">
      <c r="A401" s="70">
        <v>387.0</v>
      </c>
      <c r="B401" s="71" t="s">
        <v>39</v>
      </c>
      <c r="C401" s="72" t="s">
        <v>1000</v>
      </c>
      <c r="D401" s="73" t="s">
        <v>1001</v>
      </c>
      <c r="E401" s="71"/>
      <c r="F401" s="73"/>
      <c r="G401" s="74" t="s">
        <v>2766</v>
      </c>
      <c r="H401" s="73"/>
      <c r="I401" s="77" t="s">
        <v>2784</v>
      </c>
      <c r="J401" s="74" t="b">
        <v>1</v>
      </c>
      <c r="K401" s="71" t="s">
        <v>1002</v>
      </c>
      <c r="L401" s="71" t="s">
        <v>3221</v>
      </c>
      <c r="M401" s="76" t="s">
        <v>3286</v>
      </c>
    </row>
    <row r="402" ht="21.0" customHeight="1">
      <c r="A402" s="70">
        <v>388.0</v>
      </c>
      <c r="B402" s="71" t="s">
        <v>39</v>
      </c>
      <c r="C402" s="72" t="s">
        <v>1006</v>
      </c>
      <c r="D402" s="73" t="s">
        <v>1007</v>
      </c>
      <c r="E402" s="71"/>
      <c r="F402" s="73"/>
      <c r="G402" s="74" t="s">
        <v>2766</v>
      </c>
      <c r="H402" s="73"/>
      <c r="I402" s="77" t="s">
        <v>2784</v>
      </c>
      <c r="J402" s="74" t="b">
        <v>1</v>
      </c>
      <c r="K402" s="71" t="s">
        <v>1008</v>
      </c>
      <c r="L402" s="71" t="s">
        <v>3221</v>
      </c>
      <c r="M402" s="76" t="s">
        <v>3287</v>
      </c>
    </row>
    <row r="403" ht="21.0" customHeight="1">
      <c r="A403" s="70">
        <v>389.0</v>
      </c>
      <c r="B403" s="71" t="s">
        <v>39</v>
      </c>
      <c r="C403" s="72" t="s">
        <v>1047</v>
      </c>
      <c r="D403" s="73" t="s">
        <v>1048</v>
      </c>
      <c r="E403" s="71"/>
      <c r="F403" s="73"/>
      <c r="G403" s="74" t="s">
        <v>2766</v>
      </c>
      <c r="H403" s="73"/>
      <c r="I403" s="77" t="s">
        <v>2784</v>
      </c>
      <c r="J403" s="74" t="b">
        <v>1</v>
      </c>
      <c r="K403" s="71" t="s">
        <v>1049</v>
      </c>
      <c r="L403" s="71" t="s">
        <v>3221</v>
      </c>
      <c r="M403" s="76" t="s">
        <v>3288</v>
      </c>
    </row>
    <row r="404" ht="21.0" customHeight="1">
      <c r="A404" s="70">
        <v>390.0</v>
      </c>
      <c r="B404" s="71" t="s">
        <v>39</v>
      </c>
      <c r="C404" s="72" t="s">
        <v>1090</v>
      </c>
      <c r="D404" s="73" t="s">
        <v>1091</v>
      </c>
      <c r="E404" s="71"/>
      <c r="F404" s="73"/>
      <c r="G404" s="74" t="s">
        <v>2766</v>
      </c>
      <c r="H404" s="73"/>
      <c r="I404" s="77" t="s">
        <v>2784</v>
      </c>
      <c r="J404" s="74" t="b">
        <v>1</v>
      </c>
      <c r="K404" s="71" t="s">
        <v>1092</v>
      </c>
      <c r="L404" s="71" t="s">
        <v>3221</v>
      </c>
      <c r="M404" s="76" t="s">
        <v>3289</v>
      </c>
    </row>
    <row r="405" ht="21.0" customHeight="1">
      <c r="A405" s="70">
        <v>391.0</v>
      </c>
      <c r="B405" s="71" t="s">
        <v>43</v>
      </c>
      <c r="C405" s="72" t="s">
        <v>1527</v>
      </c>
      <c r="D405" s="73" t="s">
        <v>1528</v>
      </c>
      <c r="E405" s="71"/>
      <c r="F405" s="73"/>
      <c r="G405" s="74" t="s">
        <v>2766</v>
      </c>
      <c r="H405" s="73"/>
      <c r="I405" s="77" t="s">
        <v>2784</v>
      </c>
      <c r="J405" s="74" t="b">
        <v>1</v>
      </c>
      <c r="K405" s="71" t="s">
        <v>1529</v>
      </c>
      <c r="L405" s="71" t="s">
        <v>3221</v>
      </c>
      <c r="M405" s="76" t="s">
        <v>3290</v>
      </c>
    </row>
    <row r="406" ht="21.0" customHeight="1">
      <c r="A406" s="70">
        <v>392.0</v>
      </c>
      <c r="B406" s="71" t="s">
        <v>43</v>
      </c>
      <c r="C406" s="72" t="s">
        <v>1534</v>
      </c>
      <c r="D406" s="73" t="s">
        <v>1535</v>
      </c>
      <c r="E406" s="71"/>
      <c r="F406" s="73"/>
      <c r="G406" s="74" t="s">
        <v>2766</v>
      </c>
      <c r="H406" s="73"/>
      <c r="I406" s="77" t="s">
        <v>2784</v>
      </c>
      <c r="J406" s="74" t="b">
        <v>1</v>
      </c>
      <c r="K406" s="71" t="s">
        <v>1536</v>
      </c>
      <c r="L406" s="71" t="s">
        <v>3221</v>
      </c>
      <c r="M406" s="76" t="s">
        <v>3291</v>
      </c>
    </row>
    <row r="407" ht="21.0" customHeight="1">
      <c r="A407" s="70">
        <v>393.0</v>
      </c>
      <c r="B407" s="71" t="s">
        <v>43</v>
      </c>
      <c r="C407" s="72" t="s">
        <v>1561</v>
      </c>
      <c r="D407" s="73" t="s">
        <v>1562</v>
      </c>
      <c r="E407" s="71"/>
      <c r="F407" s="73"/>
      <c r="G407" s="74" t="s">
        <v>2766</v>
      </c>
      <c r="H407" s="73"/>
      <c r="I407" s="77" t="s">
        <v>2784</v>
      </c>
      <c r="J407" s="74" t="b">
        <v>1</v>
      </c>
      <c r="K407" s="71" t="s">
        <v>1563</v>
      </c>
      <c r="L407" s="71" t="s">
        <v>3221</v>
      </c>
      <c r="M407" s="76" t="s">
        <v>3292</v>
      </c>
    </row>
    <row r="408" ht="21.0" customHeight="1">
      <c r="A408" s="70">
        <v>394.0</v>
      </c>
      <c r="B408" s="71" t="s">
        <v>43</v>
      </c>
      <c r="C408" s="72" t="s">
        <v>1602</v>
      </c>
      <c r="D408" s="73" t="s">
        <v>1603</v>
      </c>
      <c r="E408" s="71"/>
      <c r="F408" s="73"/>
      <c r="G408" s="74" t="s">
        <v>2766</v>
      </c>
      <c r="H408" s="73"/>
      <c r="I408" s="77" t="s">
        <v>2784</v>
      </c>
      <c r="J408" s="74" t="b">
        <v>1</v>
      </c>
      <c r="K408" s="71" t="s">
        <v>1604</v>
      </c>
      <c r="L408" s="71" t="s">
        <v>3221</v>
      </c>
      <c r="M408" s="76" t="s">
        <v>3293</v>
      </c>
    </row>
    <row r="409" ht="21.0" customHeight="1">
      <c r="A409" s="70">
        <v>395.0</v>
      </c>
      <c r="B409" s="71" t="s">
        <v>43</v>
      </c>
      <c r="C409" s="72" t="s">
        <v>1609</v>
      </c>
      <c r="D409" s="73" t="s">
        <v>1610</v>
      </c>
      <c r="E409" s="71"/>
      <c r="F409" s="73"/>
      <c r="G409" s="74" t="s">
        <v>2766</v>
      </c>
      <c r="H409" s="73"/>
      <c r="I409" s="77" t="s">
        <v>2784</v>
      </c>
      <c r="J409" s="74" t="b">
        <v>1</v>
      </c>
      <c r="K409" s="71" t="s">
        <v>1611</v>
      </c>
      <c r="L409" s="71" t="s">
        <v>3221</v>
      </c>
      <c r="M409" s="76" t="s">
        <v>3294</v>
      </c>
    </row>
    <row r="410" ht="21.0" customHeight="1">
      <c r="A410" s="70">
        <v>396.0</v>
      </c>
      <c r="B410" s="71" t="s">
        <v>43</v>
      </c>
      <c r="C410" s="72" t="s">
        <v>1663</v>
      </c>
      <c r="D410" s="73" t="s">
        <v>1664</v>
      </c>
      <c r="E410" s="71"/>
      <c r="F410" s="73"/>
      <c r="G410" s="74" t="s">
        <v>2766</v>
      </c>
      <c r="H410" s="73"/>
      <c r="I410" s="77" t="s">
        <v>2784</v>
      </c>
      <c r="J410" s="74" t="b">
        <v>1</v>
      </c>
      <c r="K410" s="71" t="s">
        <v>1665</v>
      </c>
      <c r="L410" s="71" t="s">
        <v>3221</v>
      </c>
      <c r="M410" s="76" t="s">
        <v>3295</v>
      </c>
    </row>
    <row r="411" ht="21.0" customHeight="1">
      <c r="A411" s="70">
        <v>397.0</v>
      </c>
      <c r="B411" s="71" t="s">
        <v>43</v>
      </c>
      <c r="C411" s="72" t="s">
        <v>1670</v>
      </c>
      <c r="D411" s="73" t="s">
        <v>1671</v>
      </c>
      <c r="E411" s="71"/>
      <c r="F411" s="73"/>
      <c r="G411" s="74" t="s">
        <v>2766</v>
      </c>
      <c r="H411" s="73"/>
      <c r="I411" s="77" t="s">
        <v>2784</v>
      </c>
      <c r="J411" s="74" t="b">
        <v>1</v>
      </c>
      <c r="K411" s="71" t="s">
        <v>1672</v>
      </c>
      <c r="L411" s="71" t="s">
        <v>3221</v>
      </c>
      <c r="M411" s="76" t="s">
        <v>3296</v>
      </c>
    </row>
    <row r="412" ht="21.0" customHeight="1">
      <c r="A412" s="70">
        <v>398.0</v>
      </c>
      <c r="B412" s="71" t="s">
        <v>43</v>
      </c>
      <c r="C412" s="72" t="s">
        <v>1697</v>
      </c>
      <c r="D412" s="73" t="s">
        <v>1698</v>
      </c>
      <c r="E412" s="71"/>
      <c r="F412" s="73"/>
      <c r="G412" s="74" t="s">
        <v>2766</v>
      </c>
      <c r="H412" s="73"/>
      <c r="I412" s="77" t="s">
        <v>2784</v>
      </c>
      <c r="J412" s="74" t="b">
        <v>1</v>
      </c>
      <c r="K412" s="71" t="s">
        <v>1699</v>
      </c>
      <c r="L412" s="71" t="s">
        <v>3221</v>
      </c>
      <c r="M412" s="76" t="s">
        <v>3297</v>
      </c>
    </row>
    <row r="413" ht="21.0" customHeight="1">
      <c r="A413" s="70">
        <v>399.0</v>
      </c>
      <c r="B413" s="71" t="s">
        <v>43</v>
      </c>
      <c r="C413" s="72" t="s">
        <v>1782</v>
      </c>
      <c r="D413" s="73" t="s">
        <v>1783</v>
      </c>
      <c r="E413" s="71"/>
      <c r="F413" s="73"/>
      <c r="G413" s="74" t="s">
        <v>2766</v>
      </c>
      <c r="H413" s="73"/>
      <c r="I413" s="77" t="s">
        <v>2784</v>
      </c>
      <c r="J413" s="74" t="b">
        <v>1</v>
      </c>
      <c r="K413" s="71" t="s">
        <v>1784</v>
      </c>
      <c r="L413" s="71" t="s">
        <v>3221</v>
      </c>
      <c r="M413" s="76" t="s">
        <v>3298</v>
      </c>
    </row>
    <row r="414" ht="21.0" customHeight="1">
      <c r="A414" s="70">
        <v>400.0</v>
      </c>
      <c r="B414" s="71" t="s">
        <v>43</v>
      </c>
      <c r="C414" s="72" t="s">
        <v>1789</v>
      </c>
      <c r="D414" s="73" t="s">
        <v>1790</v>
      </c>
      <c r="E414" s="71"/>
      <c r="F414" s="73"/>
      <c r="G414" s="74" t="s">
        <v>2766</v>
      </c>
      <c r="H414" s="73"/>
      <c r="I414" s="77" t="s">
        <v>2784</v>
      </c>
      <c r="J414" s="74" t="b">
        <v>1</v>
      </c>
      <c r="K414" s="71" t="s">
        <v>1791</v>
      </c>
      <c r="L414" s="71" t="s">
        <v>3221</v>
      </c>
      <c r="M414" s="76" t="s">
        <v>3299</v>
      </c>
    </row>
    <row r="415" ht="21.0" customHeight="1">
      <c r="A415" s="70">
        <v>401.0</v>
      </c>
      <c r="B415" s="71" t="s">
        <v>43</v>
      </c>
      <c r="C415" s="81" t="s">
        <v>1796</v>
      </c>
      <c r="D415" s="73" t="s">
        <v>1797</v>
      </c>
      <c r="E415" s="71"/>
      <c r="F415" s="73"/>
      <c r="G415" s="74" t="s">
        <v>2766</v>
      </c>
      <c r="H415" s="73" t="s">
        <v>3300</v>
      </c>
      <c r="I415" s="77" t="s">
        <v>2784</v>
      </c>
      <c r="J415" s="74" t="b">
        <v>1</v>
      </c>
      <c r="K415" s="71" t="s">
        <v>1798</v>
      </c>
      <c r="L415" s="71" t="s">
        <v>3221</v>
      </c>
      <c r="M415" s="76" t="s">
        <v>3301</v>
      </c>
    </row>
    <row r="416" ht="21.0" customHeight="1">
      <c r="A416" s="70">
        <v>402.0</v>
      </c>
      <c r="B416" s="71" t="s">
        <v>43</v>
      </c>
      <c r="C416" s="81" t="s">
        <v>1804</v>
      </c>
      <c r="D416" s="73" t="s">
        <v>1805</v>
      </c>
      <c r="E416" s="71"/>
      <c r="F416" s="73"/>
      <c r="G416" s="74" t="s">
        <v>2766</v>
      </c>
      <c r="H416" s="73" t="s">
        <v>3300</v>
      </c>
      <c r="I416" s="77" t="s">
        <v>2784</v>
      </c>
      <c r="J416" s="74" t="b">
        <v>1</v>
      </c>
      <c r="K416" s="71" t="s">
        <v>1806</v>
      </c>
      <c r="L416" s="71" t="s">
        <v>3221</v>
      </c>
      <c r="M416" s="76" t="s">
        <v>3302</v>
      </c>
    </row>
    <row r="417" ht="21.0" customHeight="1">
      <c r="A417" s="70">
        <v>403.0</v>
      </c>
      <c r="B417" s="71" t="s">
        <v>43</v>
      </c>
      <c r="C417" s="72" t="s">
        <v>1833</v>
      </c>
      <c r="D417" s="73" t="s">
        <v>1834</v>
      </c>
      <c r="E417" s="71"/>
      <c r="F417" s="73"/>
      <c r="G417" s="74" t="s">
        <v>2766</v>
      </c>
      <c r="H417" s="73"/>
      <c r="I417" s="77" t="s">
        <v>2784</v>
      </c>
      <c r="J417" s="74" t="b">
        <v>1</v>
      </c>
      <c r="K417" s="71" t="s">
        <v>1835</v>
      </c>
      <c r="L417" s="71" t="s">
        <v>3221</v>
      </c>
      <c r="M417" s="76" t="s">
        <v>3303</v>
      </c>
    </row>
    <row r="418" ht="21.0" customHeight="1">
      <c r="A418" s="70">
        <v>404.0</v>
      </c>
      <c r="B418" s="71" t="s">
        <v>43</v>
      </c>
      <c r="C418" s="72" t="s">
        <v>1840</v>
      </c>
      <c r="D418" s="73" t="s">
        <v>1841</v>
      </c>
      <c r="E418" s="71"/>
      <c r="F418" s="73"/>
      <c r="G418" s="74" t="s">
        <v>2766</v>
      </c>
      <c r="H418" s="73"/>
      <c r="I418" s="77" t="s">
        <v>2784</v>
      </c>
      <c r="J418" s="74" t="b">
        <v>1</v>
      </c>
      <c r="K418" s="71" t="s">
        <v>1842</v>
      </c>
      <c r="L418" s="71" t="s">
        <v>3221</v>
      </c>
      <c r="M418" s="76" t="s">
        <v>3304</v>
      </c>
    </row>
    <row r="419" ht="21.0" customHeight="1">
      <c r="A419" s="70">
        <v>405.0</v>
      </c>
      <c r="B419" s="71" t="s">
        <v>43</v>
      </c>
      <c r="C419" s="72" t="s">
        <v>1847</v>
      </c>
      <c r="D419" s="73" t="s">
        <v>1848</v>
      </c>
      <c r="E419" s="71"/>
      <c r="F419" s="73"/>
      <c r="G419" s="74" t="s">
        <v>2766</v>
      </c>
      <c r="H419" s="73"/>
      <c r="I419" s="77" t="s">
        <v>2784</v>
      </c>
      <c r="J419" s="74" t="b">
        <v>1</v>
      </c>
      <c r="K419" s="71" t="s">
        <v>1849</v>
      </c>
      <c r="L419" s="71" t="s">
        <v>3221</v>
      </c>
      <c r="M419" s="76" t="s">
        <v>3305</v>
      </c>
    </row>
    <row r="420" ht="21.0" customHeight="1">
      <c r="A420" s="70">
        <v>406.0</v>
      </c>
      <c r="B420" s="71" t="s">
        <v>43</v>
      </c>
      <c r="C420" s="72" t="s">
        <v>1854</v>
      </c>
      <c r="D420" s="73" t="s">
        <v>1855</v>
      </c>
      <c r="E420" s="71"/>
      <c r="F420" s="73"/>
      <c r="G420" s="74" t="s">
        <v>2766</v>
      </c>
      <c r="H420" s="73"/>
      <c r="I420" s="77" t="s">
        <v>2784</v>
      </c>
      <c r="J420" s="74" t="b">
        <v>1</v>
      </c>
      <c r="K420" s="71" t="s">
        <v>1856</v>
      </c>
      <c r="L420" s="71" t="s">
        <v>3221</v>
      </c>
      <c r="M420" s="76" t="s">
        <v>3306</v>
      </c>
    </row>
    <row r="421" ht="21.0" customHeight="1">
      <c r="A421" s="70">
        <v>407.0</v>
      </c>
      <c r="B421" s="71" t="s">
        <v>43</v>
      </c>
      <c r="C421" s="81" t="s">
        <v>1897</v>
      </c>
      <c r="D421" s="73" t="s">
        <v>1898</v>
      </c>
      <c r="E421" s="71"/>
      <c r="F421" s="73"/>
      <c r="G421" s="74" t="s">
        <v>2766</v>
      </c>
      <c r="H421" s="73" t="s">
        <v>3300</v>
      </c>
      <c r="I421" s="77" t="s">
        <v>2784</v>
      </c>
      <c r="J421" s="74" t="b">
        <v>1</v>
      </c>
      <c r="K421" s="71" t="s">
        <v>1899</v>
      </c>
      <c r="L421" s="71" t="s">
        <v>3221</v>
      </c>
      <c r="M421" s="76" t="s">
        <v>3307</v>
      </c>
    </row>
    <row r="422" ht="21.0" customHeight="1">
      <c r="A422" s="70">
        <v>408.0</v>
      </c>
      <c r="B422" s="71" t="s">
        <v>43</v>
      </c>
      <c r="C422" s="81" t="s">
        <v>1904</v>
      </c>
      <c r="D422" s="73" t="s">
        <v>1905</v>
      </c>
      <c r="E422" s="71"/>
      <c r="F422" s="73"/>
      <c r="G422" s="74" t="s">
        <v>2766</v>
      </c>
      <c r="H422" s="73" t="s">
        <v>3300</v>
      </c>
      <c r="I422" s="77" t="s">
        <v>2784</v>
      </c>
      <c r="J422" s="74" t="b">
        <v>1</v>
      </c>
      <c r="K422" s="71" t="s">
        <v>1906</v>
      </c>
      <c r="L422" s="71" t="s">
        <v>3221</v>
      </c>
      <c r="M422" s="76" t="s">
        <v>3308</v>
      </c>
    </row>
    <row r="423" ht="21.0" customHeight="1">
      <c r="A423" s="70">
        <v>409.0</v>
      </c>
      <c r="B423" s="71" t="s">
        <v>43</v>
      </c>
      <c r="C423" s="72" t="s">
        <v>1911</v>
      </c>
      <c r="D423" s="73" t="s">
        <v>1912</v>
      </c>
      <c r="E423" s="71"/>
      <c r="F423" s="73"/>
      <c r="G423" s="74" t="s">
        <v>2766</v>
      </c>
      <c r="H423" s="73"/>
      <c r="I423" s="77" t="s">
        <v>2784</v>
      </c>
      <c r="J423" s="74" t="b">
        <v>1</v>
      </c>
      <c r="K423" s="71" t="s">
        <v>1913</v>
      </c>
      <c r="L423" s="71" t="s">
        <v>3221</v>
      </c>
      <c r="M423" s="76" t="s">
        <v>3309</v>
      </c>
    </row>
    <row r="424" ht="21.0" customHeight="1">
      <c r="A424" s="70">
        <v>410.0</v>
      </c>
      <c r="B424" s="71" t="s">
        <v>43</v>
      </c>
      <c r="C424" s="72" t="s">
        <v>1918</v>
      </c>
      <c r="D424" s="73" t="s">
        <v>1919</v>
      </c>
      <c r="E424" s="71"/>
      <c r="F424" s="73"/>
      <c r="G424" s="74" t="s">
        <v>2766</v>
      </c>
      <c r="H424" s="73"/>
      <c r="I424" s="77" t="s">
        <v>2784</v>
      </c>
      <c r="J424" s="74" t="b">
        <v>1</v>
      </c>
      <c r="K424" s="71" t="s">
        <v>1920</v>
      </c>
      <c r="L424" s="71" t="s">
        <v>3221</v>
      </c>
      <c r="M424" s="76" t="s">
        <v>3310</v>
      </c>
    </row>
    <row r="425" ht="21.0" customHeight="1">
      <c r="A425" s="70">
        <v>411.0</v>
      </c>
      <c r="B425" s="71" t="s">
        <v>43</v>
      </c>
      <c r="C425" s="72" t="s">
        <v>1925</v>
      </c>
      <c r="D425" s="73" t="s">
        <v>1926</v>
      </c>
      <c r="E425" s="71"/>
      <c r="F425" s="73"/>
      <c r="G425" s="74" t="s">
        <v>2766</v>
      </c>
      <c r="H425" s="73"/>
      <c r="I425" s="77" t="s">
        <v>2784</v>
      </c>
      <c r="J425" s="74" t="b">
        <v>1</v>
      </c>
      <c r="K425" s="71" t="s">
        <v>1927</v>
      </c>
      <c r="L425" s="71" t="s">
        <v>3221</v>
      </c>
      <c r="M425" s="76" t="s">
        <v>3311</v>
      </c>
    </row>
    <row r="426" ht="21.0" customHeight="1">
      <c r="A426" s="70">
        <v>412.0</v>
      </c>
      <c r="B426" s="71" t="s">
        <v>43</v>
      </c>
      <c r="C426" s="72" t="s">
        <v>1932</v>
      </c>
      <c r="D426" s="73" t="s">
        <v>1933</v>
      </c>
      <c r="E426" s="71"/>
      <c r="F426" s="73"/>
      <c r="G426" s="74" t="s">
        <v>2766</v>
      </c>
      <c r="H426" s="73"/>
      <c r="I426" s="77" t="s">
        <v>2784</v>
      </c>
      <c r="J426" s="74" t="b">
        <v>1</v>
      </c>
      <c r="K426" s="71" t="s">
        <v>1934</v>
      </c>
      <c r="L426" s="71" t="s">
        <v>3221</v>
      </c>
      <c r="M426" s="76" t="s">
        <v>3312</v>
      </c>
    </row>
    <row r="427" ht="21.0" customHeight="1">
      <c r="A427" s="70">
        <v>413.0</v>
      </c>
      <c r="B427" s="71" t="s">
        <v>43</v>
      </c>
      <c r="C427" s="72" t="s">
        <v>1939</v>
      </c>
      <c r="D427" s="73" t="s">
        <v>1940</v>
      </c>
      <c r="E427" s="71"/>
      <c r="F427" s="73"/>
      <c r="G427" s="74" t="s">
        <v>2766</v>
      </c>
      <c r="H427" s="73"/>
      <c r="I427" s="77" t="s">
        <v>2784</v>
      </c>
      <c r="J427" s="74" t="b">
        <v>1</v>
      </c>
      <c r="K427" s="71" t="s">
        <v>1941</v>
      </c>
      <c r="L427" s="71" t="s">
        <v>3221</v>
      </c>
      <c r="M427" s="76" t="s">
        <v>3313</v>
      </c>
    </row>
    <row r="428" ht="21.0" customHeight="1">
      <c r="A428" s="70">
        <v>414.0</v>
      </c>
      <c r="B428" s="71" t="s">
        <v>43</v>
      </c>
      <c r="C428" s="72" t="s">
        <v>1964</v>
      </c>
      <c r="D428" s="73" t="s">
        <v>1965</v>
      </c>
      <c r="E428" s="71"/>
      <c r="F428" s="73"/>
      <c r="G428" s="74" t="s">
        <v>2766</v>
      </c>
      <c r="H428" s="73"/>
      <c r="I428" s="77" t="s">
        <v>2784</v>
      </c>
      <c r="J428" s="74" t="b">
        <v>1</v>
      </c>
      <c r="K428" s="71" t="s">
        <v>1966</v>
      </c>
      <c r="L428" s="71" t="s">
        <v>3221</v>
      </c>
      <c r="M428" s="76" t="s">
        <v>3314</v>
      </c>
    </row>
    <row r="429" ht="21.0" customHeight="1">
      <c r="A429" s="70">
        <v>415.0</v>
      </c>
      <c r="B429" s="71" t="s">
        <v>43</v>
      </c>
      <c r="C429" s="72" t="s">
        <v>1971</v>
      </c>
      <c r="D429" s="73" t="s">
        <v>1972</v>
      </c>
      <c r="E429" s="71"/>
      <c r="F429" s="73"/>
      <c r="G429" s="74" t="s">
        <v>2766</v>
      </c>
      <c r="H429" s="73"/>
      <c r="I429" s="77" t="s">
        <v>2784</v>
      </c>
      <c r="J429" s="74" t="b">
        <v>1</v>
      </c>
      <c r="K429" s="71" t="s">
        <v>1973</v>
      </c>
      <c r="L429" s="71" t="s">
        <v>3221</v>
      </c>
      <c r="M429" s="76" t="s">
        <v>3315</v>
      </c>
    </row>
    <row r="430" ht="21.0" customHeight="1">
      <c r="A430" s="70">
        <v>416.0</v>
      </c>
      <c r="B430" s="71" t="s">
        <v>43</v>
      </c>
      <c r="C430" s="72" t="s">
        <v>2128</v>
      </c>
      <c r="D430" s="73" t="s">
        <v>2129</v>
      </c>
      <c r="E430" s="71"/>
      <c r="F430" s="73"/>
      <c r="G430" s="74" t="s">
        <v>2766</v>
      </c>
      <c r="H430" s="73"/>
      <c r="I430" s="77" t="s">
        <v>2784</v>
      </c>
      <c r="J430" s="74" t="b">
        <v>1</v>
      </c>
      <c r="K430" s="71" t="s">
        <v>2130</v>
      </c>
      <c r="L430" s="71" t="s">
        <v>3221</v>
      </c>
      <c r="M430" s="76" t="s">
        <v>3316</v>
      </c>
    </row>
    <row r="431" ht="21.0" customHeight="1">
      <c r="A431" s="70">
        <v>417.0</v>
      </c>
      <c r="B431" s="71" t="s">
        <v>43</v>
      </c>
      <c r="C431" s="72" t="s">
        <v>2181</v>
      </c>
      <c r="D431" s="73" t="s">
        <v>2182</v>
      </c>
      <c r="E431" s="71"/>
      <c r="F431" s="73"/>
      <c r="G431" s="74" t="s">
        <v>2766</v>
      </c>
      <c r="H431" s="73"/>
      <c r="I431" s="77" t="s">
        <v>2784</v>
      </c>
      <c r="J431" s="74" t="b">
        <v>1</v>
      </c>
      <c r="K431" s="71" t="s">
        <v>2183</v>
      </c>
      <c r="L431" s="71" t="s">
        <v>3221</v>
      </c>
      <c r="M431" s="76" t="s">
        <v>3317</v>
      </c>
    </row>
    <row r="432" ht="21.0" customHeight="1">
      <c r="A432" s="70">
        <v>418.0</v>
      </c>
      <c r="B432" s="71" t="s">
        <v>49</v>
      </c>
      <c r="C432" s="72" t="s">
        <v>2394</v>
      </c>
      <c r="D432" s="73" t="s">
        <v>2395</v>
      </c>
      <c r="E432" s="71"/>
      <c r="F432" s="73"/>
      <c r="G432" s="74" t="s">
        <v>2766</v>
      </c>
      <c r="H432" s="73"/>
      <c r="I432" s="77" t="s">
        <v>2784</v>
      </c>
      <c r="J432" s="74" t="b">
        <v>1</v>
      </c>
      <c r="K432" s="71" t="s">
        <v>2396</v>
      </c>
      <c r="L432" s="71" t="s">
        <v>3221</v>
      </c>
      <c r="M432" s="76" t="s">
        <v>3318</v>
      </c>
    </row>
    <row r="433" ht="21.0" customHeight="1">
      <c r="A433" s="70">
        <v>419.0</v>
      </c>
      <c r="B433" s="71" t="s">
        <v>49</v>
      </c>
      <c r="C433" s="72" t="s">
        <v>2424</v>
      </c>
      <c r="D433" s="73" t="s">
        <v>2425</v>
      </c>
      <c r="E433" s="71"/>
      <c r="F433" s="73"/>
      <c r="G433" s="74" t="s">
        <v>2766</v>
      </c>
      <c r="H433" s="73"/>
      <c r="I433" s="77" t="s">
        <v>2784</v>
      </c>
      <c r="J433" s="74" t="b">
        <v>1</v>
      </c>
      <c r="K433" s="71" t="s">
        <v>2426</v>
      </c>
      <c r="L433" s="71" t="s">
        <v>3221</v>
      </c>
      <c r="M433" s="76" t="s">
        <v>3319</v>
      </c>
    </row>
    <row r="434" ht="21.0" customHeight="1">
      <c r="A434" s="70">
        <v>420.0</v>
      </c>
      <c r="B434" s="71" t="s">
        <v>49</v>
      </c>
      <c r="C434" s="72" t="s">
        <v>2431</v>
      </c>
      <c r="D434" s="73" t="s">
        <v>2432</v>
      </c>
      <c r="E434" s="71"/>
      <c r="F434" s="73"/>
      <c r="G434" s="74" t="s">
        <v>2766</v>
      </c>
      <c r="H434" s="73"/>
      <c r="I434" s="77" t="s">
        <v>2784</v>
      </c>
      <c r="J434" s="74" t="b">
        <v>1</v>
      </c>
      <c r="K434" s="71" t="s">
        <v>2433</v>
      </c>
      <c r="L434" s="71" t="s">
        <v>3221</v>
      </c>
      <c r="M434" s="76" t="s">
        <v>3320</v>
      </c>
    </row>
    <row r="435" ht="21.0" customHeight="1">
      <c r="A435" s="70">
        <v>421.0</v>
      </c>
      <c r="B435" s="71" t="s">
        <v>49</v>
      </c>
      <c r="C435" s="72" t="s">
        <v>2476</v>
      </c>
      <c r="D435" s="73" t="s">
        <v>2477</v>
      </c>
      <c r="E435" s="71"/>
      <c r="F435" s="73"/>
      <c r="G435" s="74" t="s">
        <v>2766</v>
      </c>
      <c r="H435" s="73"/>
      <c r="I435" s="77" t="s">
        <v>2784</v>
      </c>
      <c r="J435" s="74" t="b">
        <v>1</v>
      </c>
      <c r="K435" s="71" t="s">
        <v>2478</v>
      </c>
      <c r="L435" s="71" t="s">
        <v>3221</v>
      </c>
      <c r="M435" s="76" t="s">
        <v>3321</v>
      </c>
    </row>
    <row r="436" ht="21.0" customHeight="1">
      <c r="A436" s="70">
        <v>422.0</v>
      </c>
      <c r="B436" s="71" t="s">
        <v>49</v>
      </c>
      <c r="C436" s="72" t="s">
        <v>2546</v>
      </c>
      <c r="D436" s="73" t="s">
        <v>2547</v>
      </c>
      <c r="E436" s="71"/>
      <c r="F436" s="73"/>
      <c r="G436" s="74" t="s">
        <v>2766</v>
      </c>
      <c r="H436" s="73"/>
      <c r="I436" s="77" t="s">
        <v>2784</v>
      </c>
      <c r="J436" s="74" t="b">
        <v>1</v>
      </c>
      <c r="K436" s="71" t="s">
        <v>2548</v>
      </c>
      <c r="L436" s="71" t="s">
        <v>3221</v>
      </c>
      <c r="M436" s="76" t="s">
        <v>3322</v>
      </c>
    </row>
    <row r="437" ht="21.0" customHeight="1">
      <c r="A437" s="70">
        <v>423.0</v>
      </c>
      <c r="B437" s="71" t="s">
        <v>49</v>
      </c>
      <c r="C437" s="72" t="s">
        <v>2590</v>
      </c>
      <c r="D437" s="73" t="s">
        <v>2591</v>
      </c>
      <c r="E437" s="71"/>
      <c r="F437" s="73"/>
      <c r="G437" s="74" t="s">
        <v>2766</v>
      </c>
      <c r="H437" s="73"/>
      <c r="I437" s="77" t="s">
        <v>2784</v>
      </c>
      <c r="J437" s="74" t="b">
        <v>1</v>
      </c>
      <c r="K437" s="71" t="s">
        <v>2592</v>
      </c>
      <c r="L437" s="71" t="s">
        <v>3221</v>
      </c>
      <c r="M437" s="76" t="s">
        <v>3323</v>
      </c>
    </row>
    <row r="438" ht="21.0" customHeight="1">
      <c r="A438" s="70">
        <v>424.0</v>
      </c>
      <c r="B438" s="71" t="s">
        <v>49</v>
      </c>
      <c r="C438" s="72" t="s">
        <v>2597</v>
      </c>
      <c r="D438" s="73" t="s">
        <v>2598</v>
      </c>
      <c r="E438" s="71"/>
      <c r="F438" s="73"/>
      <c r="G438" s="74" t="s">
        <v>2766</v>
      </c>
      <c r="H438" s="73"/>
      <c r="I438" s="77" t="s">
        <v>2784</v>
      </c>
      <c r="J438" s="74" t="b">
        <v>1</v>
      </c>
      <c r="K438" s="71" t="s">
        <v>2599</v>
      </c>
      <c r="L438" s="71" t="s">
        <v>3221</v>
      </c>
      <c r="M438" s="76" t="s">
        <v>3324</v>
      </c>
    </row>
    <row r="439" ht="21.0" customHeight="1">
      <c r="A439" s="70">
        <v>425.0</v>
      </c>
      <c r="B439" s="71" t="s">
        <v>49</v>
      </c>
      <c r="C439" s="72" t="s">
        <v>2641</v>
      </c>
      <c r="D439" s="73" t="s">
        <v>2286</v>
      </c>
      <c r="E439" s="71"/>
      <c r="F439" s="73"/>
      <c r="G439" s="74" t="s">
        <v>2766</v>
      </c>
      <c r="H439" s="73"/>
      <c r="I439" s="77" t="s">
        <v>2784</v>
      </c>
      <c r="J439" s="74" t="b">
        <v>1</v>
      </c>
      <c r="K439" s="71" t="s">
        <v>2643</v>
      </c>
      <c r="L439" s="71" t="s">
        <v>3221</v>
      </c>
      <c r="M439" s="76" t="s">
        <v>3325</v>
      </c>
    </row>
    <row r="440" ht="21.0" customHeight="1">
      <c r="A440" s="70">
        <v>426.0</v>
      </c>
      <c r="B440" s="71" t="s">
        <v>49</v>
      </c>
      <c r="C440" s="72" t="s">
        <v>2646</v>
      </c>
      <c r="D440" s="73" t="s">
        <v>2286</v>
      </c>
      <c r="E440" s="71"/>
      <c r="F440" s="73"/>
      <c r="G440" s="74" t="s">
        <v>2766</v>
      </c>
      <c r="H440" s="73"/>
      <c r="I440" s="77" t="s">
        <v>2784</v>
      </c>
      <c r="J440" s="74" t="b">
        <v>1</v>
      </c>
      <c r="K440" s="71" t="s">
        <v>2647</v>
      </c>
      <c r="L440" s="71" t="s">
        <v>3221</v>
      </c>
      <c r="M440" s="76" t="s">
        <v>3326</v>
      </c>
    </row>
    <row r="441" ht="21.0" customHeight="1">
      <c r="A441" s="70">
        <v>427.0</v>
      </c>
      <c r="B441" s="71" t="s">
        <v>49</v>
      </c>
      <c r="C441" s="72" t="s">
        <v>2650</v>
      </c>
      <c r="D441" s="73" t="s">
        <v>2651</v>
      </c>
      <c r="E441" s="71"/>
      <c r="F441" s="73"/>
      <c r="G441" s="74" t="s">
        <v>2766</v>
      </c>
      <c r="H441" s="73"/>
      <c r="I441" s="77" t="s">
        <v>2784</v>
      </c>
      <c r="J441" s="74" t="b">
        <v>1</v>
      </c>
      <c r="K441" s="71" t="s">
        <v>2652</v>
      </c>
      <c r="L441" s="71" t="s">
        <v>3221</v>
      </c>
      <c r="M441" s="76" t="s">
        <v>3327</v>
      </c>
    </row>
    <row r="442" ht="21.0" customHeight="1">
      <c r="A442" s="70">
        <v>428.0</v>
      </c>
      <c r="B442" s="71" t="s">
        <v>49</v>
      </c>
      <c r="C442" s="72" t="s">
        <v>2657</v>
      </c>
      <c r="D442" s="73" t="s">
        <v>2658</v>
      </c>
      <c r="E442" s="71"/>
      <c r="F442" s="73"/>
      <c r="G442" s="74" t="s">
        <v>2766</v>
      </c>
      <c r="H442" s="73"/>
      <c r="I442" s="77" t="s">
        <v>2784</v>
      </c>
      <c r="J442" s="74" t="b">
        <v>1</v>
      </c>
      <c r="K442" s="71" t="s">
        <v>2659</v>
      </c>
      <c r="L442" s="71" t="s">
        <v>3221</v>
      </c>
      <c r="M442" s="76" t="s">
        <v>3328</v>
      </c>
    </row>
    <row r="443" ht="21.0" customHeight="1">
      <c r="A443" s="70">
        <v>429.0</v>
      </c>
      <c r="B443" s="71" t="s">
        <v>49</v>
      </c>
      <c r="C443" s="72" t="s">
        <v>2678</v>
      </c>
      <c r="D443" s="73" t="s">
        <v>2679</v>
      </c>
      <c r="E443" s="71"/>
      <c r="F443" s="73"/>
      <c r="G443" s="74" t="s">
        <v>2766</v>
      </c>
      <c r="H443" s="73"/>
      <c r="I443" s="77" t="s">
        <v>2784</v>
      </c>
      <c r="J443" s="74" t="b">
        <v>1</v>
      </c>
      <c r="K443" s="71" t="s">
        <v>2680</v>
      </c>
      <c r="L443" s="71" t="s">
        <v>3221</v>
      </c>
      <c r="M443" s="76" t="s">
        <v>3329</v>
      </c>
    </row>
    <row r="444" ht="21.0" customHeight="1">
      <c r="A444" s="70">
        <v>430.0</v>
      </c>
      <c r="B444" s="71" t="s">
        <v>49</v>
      </c>
      <c r="C444" s="72" t="s">
        <v>2685</v>
      </c>
      <c r="D444" s="73" t="s">
        <v>2686</v>
      </c>
      <c r="E444" s="71"/>
      <c r="F444" s="73"/>
      <c r="G444" s="74" t="s">
        <v>2766</v>
      </c>
      <c r="H444" s="73"/>
      <c r="I444" s="77" t="s">
        <v>2784</v>
      </c>
      <c r="J444" s="74" t="b">
        <v>1</v>
      </c>
      <c r="K444" s="71" t="s">
        <v>2687</v>
      </c>
      <c r="L444" s="71" t="s">
        <v>3221</v>
      </c>
      <c r="M444" s="76" t="s">
        <v>3330</v>
      </c>
    </row>
    <row r="445" ht="21.0" customHeight="1">
      <c r="A445" s="70">
        <v>431.0</v>
      </c>
      <c r="B445" s="71" t="s">
        <v>41</v>
      </c>
      <c r="C445" s="72" t="s">
        <v>1097</v>
      </c>
      <c r="D445" s="73" t="s">
        <v>1098</v>
      </c>
      <c r="E445" s="71"/>
      <c r="F445" s="73"/>
      <c r="G445" s="74" t="s">
        <v>2766</v>
      </c>
      <c r="H445" s="73"/>
      <c r="I445" s="77" t="s">
        <v>2784</v>
      </c>
      <c r="J445" s="74" t="b">
        <v>1</v>
      </c>
      <c r="K445" s="71" t="s">
        <v>1099</v>
      </c>
      <c r="L445" s="71" t="s">
        <v>3221</v>
      </c>
      <c r="M445" s="76" t="s">
        <v>3331</v>
      </c>
    </row>
    <row r="446" ht="21.0" customHeight="1">
      <c r="A446" s="70">
        <v>432.0</v>
      </c>
      <c r="B446" s="71" t="s">
        <v>41</v>
      </c>
      <c r="C446" s="72" t="s">
        <v>1175</v>
      </c>
      <c r="D446" s="73" t="s">
        <v>1176</v>
      </c>
      <c r="E446" s="71"/>
      <c r="F446" s="73"/>
      <c r="G446" s="74" t="s">
        <v>2766</v>
      </c>
      <c r="H446" s="73"/>
      <c r="I446" s="77" t="s">
        <v>2784</v>
      </c>
      <c r="J446" s="74" t="b">
        <v>1</v>
      </c>
      <c r="K446" s="71" t="s">
        <v>1177</v>
      </c>
      <c r="L446" s="71" t="s">
        <v>3221</v>
      </c>
      <c r="M446" s="76" t="s">
        <v>3332</v>
      </c>
    </row>
    <row r="447" ht="21.0" customHeight="1">
      <c r="A447" s="70">
        <v>433.0</v>
      </c>
      <c r="B447" s="71" t="s">
        <v>41</v>
      </c>
      <c r="C447" s="72" t="s">
        <v>1182</v>
      </c>
      <c r="D447" s="73" t="s">
        <v>1183</v>
      </c>
      <c r="E447" s="71"/>
      <c r="F447" s="73"/>
      <c r="G447" s="74" t="s">
        <v>2766</v>
      </c>
      <c r="H447" s="73"/>
      <c r="I447" s="77" t="s">
        <v>2784</v>
      </c>
      <c r="J447" s="74" t="b">
        <v>1</v>
      </c>
      <c r="K447" s="71" t="s">
        <v>1184</v>
      </c>
      <c r="L447" s="71" t="s">
        <v>3221</v>
      </c>
      <c r="M447" s="76" t="s">
        <v>3333</v>
      </c>
    </row>
    <row r="448" ht="21.0" customHeight="1">
      <c r="A448" s="70">
        <v>434.0</v>
      </c>
      <c r="B448" s="71" t="s">
        <v>41</v>
      </c>
      <c r="C448" s="72" t="s">
        <v>1189</v>
      </c>
      <c r="D448" s="73" t="s">
        <v>1190</v>
      </c>
      <c r="E448" s="71"/>
      <c r="F448" s="73"/>
      <c r="G448" s="74" t="s">
        <v>2766</v>
      </c>
      <c r="H448" s="73"/>
      <c r="I448" s="77" t="s">
        <v>2784</v>
      </c>
      <c r="J448" s="74" t="b">
        <v>1</v>
      </c>
      <c r="K448" s="71" t="s">
        <v>1191</v>
      </c>
      <c r="L448" s="71" t="s">
        <v>3221</v>
      </c>
      <c r="M448" s="76" t="s">
        <v>3334</v>
      </c>
    </row>
    <row r="449" ht="21.0" customHeight="1">
      <c r="A449" s="70">
        <v>435.0</v>
      </c>
      <c r="B449" s="71" t="s">
        <v>41</v>
      </c>
      <c r="C449" s="72" t="s">
        <v>1196</v>
      </c>
      <c r="D449" s="73" t="s">
        <v>1197</v>
      </c>
      <c r="E449" s="71"/>
      <c r="F449" s="73"/>
      <c r="G449" s="74" t="s">
        <v>2766</v>
      </c>
      <c r="H449" s="73"/>
      <c r="I449" s="77" t="s">
        <v>2784</v>
      </c>
      <c r="J449" s="74" t="b">
        <v>1</v>
      </c>
      <c r="K449" s="71" t="s">
        <v>1198</v>
      </c>
      <c r="L449" s="71" t="s">
        <v>3221</v>
      </c>
      <c r="M449" s="76" t="s">
        <v>3335</v>
      </c>
    </row>
    <row r="450" ht="21.0" customHeight="1">
      <c r="A450" s="70">
        <v>436.0</v>
      </c>
      <c r="B450" s="71" t="s">
        <v>41</v>
      </c>
      <c r="C450" s="72" t="s">
        <v>1203</v>
      </c>
      <c r="D450" s="73" t="s">
        <v>1204</v>
      </c>
      <c r="E450" s="71"/>
      <c r="F450" s="73"/>
      <c r="G450" s="74" t="s">
        <v>2766</v>
      </c>
      <c r="H450" s="73"/>
      <c r="I450" s="77" t="s">
        <v>2784</v>
      </c>
      <c r="J450" s="74" t="b">
        <v>1</v>
      </c>
      <c r="K450" s="71" t="s">
        <v>1205</v>
      </c>
      <c r="L450" s="71" t="s">
        <v>3221</v>
      </c>
      <c r="M450" s="76" t="s">
        <v>3336</v>
      </c>
    </row>
    <row r="451" ht="21.0" customHeight="1">
      <c r="A451" s="70">
        <v>437.0</v>
      </c>
      <c r="B451" s="71" t="s">
        <v>41</v>
      </c>
      <c r="C451" s="72" t="s">
        <v>1224</v>
      </c>
      <c r="D451" s="73" t="s">
        <v>1225</v>
      </c>
      <c r="E451" s="71"/>
      <c r="F451" s="73"/>
      <c r="G451" s="74" t="s">
        <v>2766</v>
      </c>
      <c r="H451" s="73"/>
      <c r="I451" s="77" t="s">
        <v>2784</v>
      </c>
      <c r="J451" s="74" t="b">
        <v>1</v>
      </c>
      <c r="K451" s="71" t="s">
        <v>1226</v>
      </c>
      <c r="L451" s="71" t="s">
        <v>3221</v>
      </c>
      <c r="M451" s="76" t="s">
        <v>3337</v>
      </c>
    </row>
    <row r="452" ht="21.0" customHeight="1">
      <c r="A452" s="70">
        <v>438.0</v>
      </c>
      <c r="B452" s="71" t="s">
        <v>41</v>
      </c>
      <c r="C452" s="72" t="s">
        <v>1378</v>
      </c>
      <c r="D452" s="73" t="s">
        <v>1379</v>
      </c>
      <c r="E452" s="71"/>
      <c r="F452" s="73"/>
      <c r="G452" s="74" t="s">
        <v>2766</v>
      </c>
      <c r="H452" s="73"/>
      <c r="I452" s="77" t="s">
        <v>2784</v>
      </c>
      <c r="J452" s="74" t="b">
        <v>1</v>
      </c>
      <c r="K452" s="71" t="s">
        <v>1380</v>
      </c>
      <c r="L452" s="71" t="s">
        <v>3221</v>
      </c>
      <c r="M452" s="76" t="s">
        <v>3338</v>
      </c>
    </row>
    <row r="453" ht="21.0" customHeight="1">
      <c r="A453" s="70">
        <v>439.0</v>
      </c>
      <c r="B453" s="71" t="s">
        <v>41</v>
      </c>
      <c r="C453" s="72" t="s">
        <v>1513</v>
      </c>
      <c r="D453" s="73" t="s">
        <v>1514</v>
      </c>
      <c r="E453" s="71"/>
      <c r="F453" s="73"/>
      <c r="G453" s="74" t="s">
        <v>2766</v>
      </c>
      <c r="H453" s="73"/>
      <c r="I453" s="77" t="s">
        <v>2784</v>
      </c>
      <c r="J453" s="74" t="b">
        <v>1</v>
      </c>
      <c r="K453" s="71" t="s">
        <v>1515</v>
      </c>
      <c r="L453" s="71" t="s">
        <v>3221</v>
      </c>
      <c r="M453" s="76" t="s">
        <v>3339</v>
      </c>
    </row>
    <row r="454" ht="21.0" customHeight="1">
      <c r="A454" s="70">
        <v>440.0</v>
      </c>
      <c r="B454" s="71" t="s">
        <v>41</v>
      </c>
      <c r="C454" s="72" t="s">
        <v>1520</v>
      </c>
      <c r="D454" s="73" t="s">
        <v>1521</v>
      </c>
      <c r="E454" s="71"/>
      <c r="F454" s="73"/>
      <c r="G454" s="74" t="s">
        <v>2766</v>
      </c>
      <c r="H454" s="73"/>
      <c r="I454" s="77" t="s">
        <v>2784</v>
      </c>
      <c r="J454" s="74" t="b">
        <v>1</v>
      </c>
      <c r="K454" s="71" t="s">
        <v>1522</v>
      </c>
      <c r="L454" s="71" t="s">
        <v>3221</v>
      </c>
      <c r="M454" s="76" t="s">
        <v>3340</v>
      </c>
    </row>
    <row r="455" ht="21.0" customHeight="1">
      <c r="A455" s="70">
        <v>441.0</v>
      </c>
      <c r="B455" s="71" t="s">
        <v>47</v>
      </c>
      <c r="C455" s="72" t="s">
        <v>486</v>
      </c>
      <c r="D455" s="73" t="s">
        <v>487</v>
      </c>
      <c r="E455" s="71"/>
      <c r="F455" s="73"/>
      <c r="G455" s="74" t="s">
        <v>2766</v>
      </c>
      <c r="H455" s="73"/>
      <c r="I455" s="77" t="s">
        <v>2784</v>
      </c>
      <c r="J455" s="74" t="b">
        <v>1</v>
      </c>
      <c r="K455" s="71" t="s">
        <v>2350</v>
      </c>
      <c r="L455" s="71" t="s">
        <v>3221</v>
      </c>
      <c r="M455" s="76" t="s">
        <v>3341</v>
      </c>
    </row>
    <row r="456" ht="21.0" customHeight="1">
      <c r="A456" s="70">
        <v>442.0</v>
      </c>
      <c r="B456" s="71" t="s">
        <v>47</v>
      </c>
      <c r="C456" s="72" t="s">
        <v>491</v>
      </c>
      <c r="D456" s="73" t="s">
        <v>492</v>
      </c>
      <c r="E456" s="71"/>
      <c r="F456" s="73"/>
      <c r="G456" s="74" t="s">
        <v>2766</v>
      </c>
      <c r="H456" s="73"/>
      <c r="I456" s="77" t="s">
        <v>2784</v>
      </c>
      <c r="J456" s="74" t="b">
        <v>1</v>
      </c>
      <c r="K456" s="71" t="s">
        <v>2355</v>
      </c>
      <c r="L456" s="71" t="s">
        <v>3221</v>
      </c>
      <c r="M456" s="76" t="s">
        <v>3342</v>
      </c>
    </row>
    <row r="457" ht="21.0" customHeight="1">
      <c r="A457" s="70">
        <v>443.0</v>
      </c>
      <c r="B457" s="71" t="s">
        <v>47</v>
      </c>
      <c r="C457" s="72" t="s">
        <v>496</v>
      </c>
      <c r="D457" s="73" t="s">
        <v>497</v>
      </c>
      <c r="E457" s="71"/>
      <c r="F457" s="73"/>
      <c r="G457" s="74" t="s">
        <v>2766</v>
      </c>
      <c r="H457" s="73"/>
      <c r="I457" s="77" t="s">
        <v>2784</v>
      </c>
      <c r="J457" s="74" t="b">
        <v>1</v>
      </c>
      <c r="K457" s="71" t="s">
        <v>2360</v>
      </c>
      <c r="L457" s="71" t="s">
        <v>3221</v>
      </c>
      <c r="M457" s="76" t="s">
        <v>3343</v>
      </c>
    </row>
    <row r="458" ht="21.0" customHeight="1">
      <c r="A458" s="70">
        <v>444.0</v>
      </c>
      <c r="B458" s="71" t="s">
        <v>45</v>
      </c>
      <c r="C458" s="72" t="s">
        <v>2188</v>
      </c>
      <c r="D458" s="73" t="s">
        <v>2189</v>
      </c>
      <c r="E458" s="71"/>
      <c r="F458" s="73"/>
      <c r="G458" s="74" t="s">
        <v>2766</v>
      </c>
      <c r="H458" s="73"/>
      <c r="I458" s="77" t="s">
        <v>2784</v>
      </c>
      <c r="J458" s="74" t="b">
        <v>1</v>
      </c>
      <c r="K458" s="71" t="s">
        <v>2190</v>
      </c>
      <c r="L458" s="71" t="s">
        <v>3221</v>
      </c>
      <c r="M458" s="76" t="s">
        <v>3344</v>
      </c>
    </row>
    <row r="459" ht="21.0" customHeight="1">
      <c r="A459" s="70">
        <v>445.0</v>
      </c>
      <c r="B459" s="71" t="s">
        <v>45</v>
      </c>
      <c r="C459" s="72" t="s">
        <v>2195</v>
      </c>
      <c r="D459" s="73" t="s">
        <v>2196</v>
      </c>
      <c r="E459" s="71"/>
      <c r="F459" s="73"/>
      <c r="G459" s="74" t="s">
        <v>2766</v>
      </c>
      <c r="H459" s="73"/>
      <c r="I459" s="77" t="s">
        <v>2784</v>
      </c>
      <c r="J459" s="74" t="b">
        <v>1</v>
      </c>
      <c r="K459" s="71" t="s">
        <v>2197</v>
      </c>
      <c r="L459" s="71" t="s">
        <v>3221</v>
      </c>
      <c r="M459" s="76" t="s">
        <v>3345</v>
      </c>
    </row>
    <row r="460" ht="21.0" customHeight="1">
      <c r="A460" s="70">
        <v>446.0</v>
      </c>
      <c r="B460" s="71" t="s">
        <v>45</v>
      </c>
      <c r="C460" s="72" t="s">
        <v>2240</v>
      </c>
      <c r="D460" s="73" t="s">
        <v>2241</v>
      </c>
      <c r="E460" s="71"/>
      <c r="F460" s="73"/>
      <c r="G460" s="74" t="s">
        <v>2766</v>
      </c>
      <c r="H460" s="73"/>
      <c r="I460" s="77" t="s">
        <v>2784</v>
      </c>
      <c r="J460" s="74" t="b">
        <v>1</v>
      </c>
      <c r="K460" s="71" t="s">
        <v>2242</v>
      </c>
      <c r="L460" s="71" t="s">
        <v>3221</v>
      </c>
      <c r="M460" s="76" t="s">
        <v>3346</v>
      </c>
    </row>
    <row r="461" ht="21.0" customHeight="1">
      <c r="A461" s="70">
        <v>447.0</v>
      </c>
      <c r="B461" s="71" t="s">
        <v>45</v>
      </c>
      <c r="C461" s="81" t="s">
        <v>2247</v>
      </c>
      <c r="D461" s="73" t="s">
        <v>2248</v>
      </c>
      <c r="E461" s="71"/>
      <c r="F461" s="73"/>
      <c r="G461" s="74" t="s">
        <v>2766</v>
      </c>
      <c r="H461" s="73" t="s">
        <v>3300</v>
      </c>
      <c r="I461" s="77" t="s">
        <v>2784</v>
      </c>
      <c r="J461" s="74" t="b">
        <v>1</v>
      </c>
      <c r="K461" s="71" t="s">
        <v>2249</v>
      </c>
      <c r="L461" s="71" t="s">
        <v>3221</v>
      </c>
      <c r="M461" s="76" t="s">
        <v>3347</v>
      </c>
    </row>
    <row r="462" ht="21.0" customHeight="1">
      <c r="A462" s="70">
        <v>448.0</v>
      </c>
      <c r="B462" s="71" t="s">
        <v>45</v>
      </c>
      <c r="C462" s="81" t="s">
        <v>2254</v>
      </c>
      <c r="D462" s="73" t="s">
        <v>2255</v>
      </c>
      <c r="E462" s="71"/>
      <c r="F462" s="73"/>
      <c r="G462" s="74" t="s">
        <v>2766</v>
      </c>
      <c r="H462" s="73" t="s">
        <v>3300</v>
      </c>
      <c r="I462" s="77" t="s">
        <v>2784</v>
      </c>
      <c r="J462" s="74" t="b">
        <v>1</v>
      </c>
      <c r="K462" s="71" t="s">
        <v>2256</v>
      </c>
      <c r="L462" s="71" t="s">
        <v>3221</v>
      </c>
      <c r="M462" s="76" t="s">
        <v>3348</v>
      </c>
    </row>
    <row r="463" ht="21.0" customHeight="1">
      <c r="A463" s="70">
        <v>449.0</v>
      </c>
      <c r="B463" s="71" t="s">
        <v>45</v>
      </c>
      <c r="C463" s="81" t="s">
        <v>2261</v>
      </c>
      <c r="D463" s="73" t="s">
        <v>2262</v>
      </c>
      <c r="E463" s="71"/>
      <c r="F463" s="73"/>
      <c r="G463" s="74" t="s">
        <v>2766</v>
      </c>
      <c r="H463" s="73" t="s">
        <v>3300</v>
      </c>
      <c r="I463" s="77" t="s">
        <v>2784</v>
      </c>
      <c r="J463" s="74" t="b">
        <v>1</v>
      </c>
      <c r="K463" s="71" t="s">
        <v>2263</v>
      </c>
      <c r="L463" s="71" t="s">
        <v>3221</v>
      </c>
      <c r="M463" s="76" t="s">
        <v>3349</v>
      </c>
    </row>
    <row r="464" ht="21.0" customHeight="1">
      <c r="A464" s="70">
        <v>450.0</v>
      </c>
      <c r="B464" s="71" t="s">
        <v>45</v>
      </c>
      <c r="C464" s="72" t="s">
        <v>2285</v>
      </c>
      <c r="D464" s="73" t="s">
        <v>2286</v>
      </c>
      <c r="E464" s="71"/>
      <c r="F464" s="73"/>
      <c r="G464" s="74" t="s">
        <v>2766</v>
      </c>
      <c r="H464" s="73"/>
      <c r="I464" s="77" t="s">
        <v>2784</v>
      </c>
      <c r="J464" s="74" t="b">
        <v>1</v>
      </c>
      <c r="K464" s="71" t="s">
        <v>2287</v>
      </c>
      <c r="L464" s="71" t="s">
        <v>3221</v>
      </c>
      <c r="M464" s="76" t="s">
        <v>3350</v>
      </c>
    </row>
    <row r="465" ht="21.0" customHeight="1">
      <c r="A465" s="70">
        <v>451.0</v>
      </c>
      <c r="B465" s="71" t="s">
        <v>45</v>
      </c>
      <c r="C465" s="72" t="s">
        <v>2323</v>
      </c>
      <c r="D465" s="73" t="s">
        <v>2325</v>
      </c>
      <c r="E465" s="71"/>
      <c r="F465" s="73"/>
      <c r="G465" s="74" t="s">
        <v>2766</v>
      </c>
      <c r="H465" s="73"/>
      <c r="I465" s="77" t="s">
        <v>2784</v>
      </c>
      <c r="J465" s="74" t="b">
        <v>1</v>
      </c>
      <c r="K465" s="71" t="s">
        <v>2326</v>
      </c>
      <c r="L465" s="71" t="s">
        <v>3221</v>
      </c>
      <c r="M465" s="76" t="s">
        <v>3351</v>
      </c>
    </row>
    <row r="466" ht="21.0" customHeight="1">
      <c r="A466" s="70">
        <v>452.0</v>
      </c>
      <c r="B466" s="71" t="s">
        <v>45</v>
      </c>
      <c r="C466" s="72" t="s">
        <v>2329</v>
      </c>
      <c r="D466" s="73" t="s">
        <v>2330</v>
      </c>
      <c r="E466" s="71"/>
      <c r="F466" s="73"/>
      <c r="G466" s="74" t="s">
        <v>2766</v>
      </c>
      <c r="H466" s="73"/>
      <c r="I466" s="77" t="s">
        <v>2784</v>
      </c>
      <c r="J466" s="74" t="b">
        <v>1</v>
      </c>
      <c r="K466" s="71" t="s">
        <v>2331</v>
      </c>
      <c r="L466" s="71" t="s">
        <v>3221</v>
      </c>
      <c r="M466" s="76" t="s">
        <v>3352</v>
      </c>
    </row>
    <row r="467" ht="21.0" customHeight="1">
      <c r="A467" s="70"/>
      <c r="B467" s="71"/>
      <c r="C467" s="72"/>
      <c r="D467" s="73"/>
      <c r="E467" s="71"/>
      <c r="F467" s="73"/>
      <c r="G467" s="74"/>
      <c r="H467" s="73"/>
      <c r="I467" s="77"/>
      <c r="J467" s="74"/>
      <c r="K467" s="71"/>
      <c r="L467" s="71"/>
      <c r="M467" s="76"/>
    </row>
    <row r="468" ht="21.0" customHeight="1">
      <c r="A468" s="70"/>
      <c r="B468" s="71"/>
      <c r="C468" s="72"/>
      <c r="D468" s="73"/>
      <c r="E468" s="71"/>
      <c r="F468" s="73"/>
      <c r="G468" s="74"/>
      <c r="H468" s="73"/>
      <c r="I468" s="77"/>
      <c r="J468" s="74"/>
      <c r="K468" s="71"/>
      <c r="L468" s="71"/>
      <c r="M468" s="76"/>
    </row>
    <row r="469" ht="21.0" customHeight="1">
      <c r="A469" s="70"/>
      <c r="B469" s="71"/>
      <c r="C469" s="72"/>
      <c r="D469" s="73"/>
      <c r="E469" s="71"/>
      <c r="F469" s="73"/>
      <c r="G469" s="74"/>
      <c r="H469" s="73"/>
      <c r="I469" s="77"/>
      <c r="J469" s="74"/>
      <c r="K469" s="71"/>
      <c r="L469" s="71"/>
      <c r="M469" s="76"/>
    </row>
    <row r="470" ht="21.0" customHeight="1">
      <c r="A470" s="70"/>
      <c r="B470" s="71"/>
      <c r="C470" s="72"/>
      <c r="D470" s="73"/>
      <c r="E470" s="71"/>
      <c r="F470" s="73"/>
      <c r="G470" s="74"/>
      <c r="H470" s="73"/>
      <c r="I470" s="77"/>
      <c r="J470" s="74"/>
      <c r="K470" s="71"/>
      <c r="L470" s="71"/>
      <c r="M470" s="76"/>
    </row>
    <row r="471" ht="21.0" customHeight="1">
      <c r="A471" s="70"/>
      <c r="B471" s="71"/>
      <c r="C471" s="72"/>
      <c r="D471" s="73"/>
      <c r="E471" s="71"/>
      <c r="F471" s="73"/>
      <c r="G471" s="74"/>
      <c r="H471" s="73"/>
      <c r="I471" s="77"/>
      <c r="J471" s="74"/>
      <c r="K471" s="71"/>
      <c r="L471" s="71"/>
      <c r="M471" s="76"/>
    </row>
    <row r="472" ht="21.0" customHeight="1">
      <c r="A472" s="70"/>
      <c r="B472" s="71"/>
      <c r="C472" s="72"/>
      <c r="D472" s="73"/>
      <c r="E472" s="71"/>
      <c r="F472" s="73"/>
      <c r="G472" s="74"/>
      <c r="H472" s="73"/>
      <c r="I472" s="77"/>
      <c r="J472" s="74"/>
      <c r="K472" s="71"/>
      <c r="L472" s="71"/>
      <c r="M472" s="76"/>
    </row>
    <row r="473" ht="21.0" customHeight="1">
      <c r="A473" s="70"/>
      <c r="B473" s="71"/>
      <c r="C473" s="72"/>
      <c r="D473" s="73"/>
      <c r="E473" s="71"/>
      <c r="F473" s="73"/>
      <c r="G473" s="74"/>
      <c r="H473" s="73"/>
      <c r="I473" s="77"/>
      <c r="J473" s="74"/>
      <c r="K473" s="71"/>
      <c r="L473" s="71"/>
      <c r="M473" s="76"/>
    </row>
    <row r="474" ht="21.0" customHeight="1">
      <c r="A474" s="70"/>
      <c r="B474" s="71"/>
      <c r="C474" s="72"/>
      <c r="D474" s="73"/>
      <c r="E474" s="71"/>
      <c r="F474" s="73"/>
      <c r="G474" s="74"/>
      <c r="H474" s="73"/>
      <c r="I474" s="77"/>
      <c r="J474" s="74"/>
      <c r="K474" s="71"/>
      <c r="L474" s="71"/>
      <c r="M474" s="76"/>
    </row>
    <row r="475" ht="21.0" customHeight="1">
      <c r="A475" s="70"/>
      <c r="B475" s="71"/>
      <c r="C475" s="72"/>
      <c r="D475" s="73"/>
      <c r="E475" s="71"/>
      <c r="F475" s="73"/>
      <c r="G475" s="74"/>
      <c r="H475" s="73"/>
      <c r="I475" s="77"/>
      <c r="J475" s="74"/>
      <c r="K475" s="71"/>
      <c r="L475" s="71"/>
      <c r="M475" s="76"/>
    </row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2">
    <mergeCell ref="H8:L8"/>
    <mergeCell ref="H9:L9"/>
    <mergeCell ref="A11:L11"/>
    <mergeCell ref="A12:L12"/>
    <mergeCell ref="O16:U16"/>
    <mergeCell ref="A1:L1"/>
    <mergeCell ref="A2:L2"/>
    <mergeCell ref="H4:L4"/>
    <mergeCell ref="O4:U4"/>
    <mergeCell ref="H5:L5"/>
    <mergeCell ref="H6:L6"/>
    <mergeCell ref="H7:L7"/>
  </mergeCells>
  <conditionalFormatting sqref="G15:G475">
    <cfRule type="expression" dxfId="4" priority="1">
      <formula>$G15="Has Image"</formula>
    </cfRule>
  </conditionalFormatting>
  <conditionalFormatting sqref="G15:G475">
    <cfRule type="expression" dxfId="5" priority="2">
      <formula>$G15="Missing Image"</formula>
    </cfRule>
  </conditionalFormatting>
  <conditionalFormatting sqref="G15:G475">
    <cfRule type="expression" dxfId="6" priority="3">
      <formula>$G15="No Image Required"</formula>
    </cfRule>
  </conditionalFormatting>
  <conditionalFormatting sqref="G15:G475">
    <cfRule type="expression" dxfId="7" priority="4">
      <formula>$G15="Has Image"</formula>
    </cfRule>
  </conditionalFormatting>
  <conditionalFormatting sqref="G15:G475">
    <cfRule type="expression" dxfId="8" priority="5">
      <formula>$G15="Missing Image"</formula>
    </cfRule>
  </conditionalFormatting>
  <conditionalFormatting sqref="G15:G475">
    <cfRule type="expression" dxfId="9" priority="6">
      <formula>$G15="No Image Required"</formula>
    </cfRule>
  </conditionalFormatting>
  <printOptions/>
  <pageMargins bottom="0.75" footer="0.0" header="0.0" left="0.7" right="0.7" top="0.75"/>
  <pageSetup orientation="landscape"/>
  <drawing r:id="rId1"/>
  <tableParts count="2">
    <tablePart r:id="rId4"/>
    <tablePart r:id="rId5"/>
  </tableParts>
</worksheet>
</file>